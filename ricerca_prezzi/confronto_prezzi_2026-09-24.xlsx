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" sheetId="1" state="visible" r:id="rId3"/>
    <sheet name="Dettaglio" sheetId="2" state="visible" r:id="rId4"/>
    <sheet name="Confronto famiglie" sheetId="3" state="visible" r:id="rId5"/>
    <sheet name="Marche" sheetId="4" state="visible" r:id="rId6"/>
  </sheets>
  <definedNames>
    <definedName function="false" hidden="true" localSheetId="2" name="_xlnm._FilterDatabase" vbProcedure="false">'Confronto famiglie'!$A$1:$J$328</definedName>
    <definedName function="false" hidden="true" localSheetId="1" name="_xlnm._FilterDatabase" vbProcedure="false">Dettaglio!$A$1:$O$520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<sst xmlns="http://schemas.openxmlformats.org/spreadsheetml/2006/main" count="6111" uniqueCount="840">
  <si>
    <t xml:space="preserve">Confronto prezzi Clan Pesca vs web — famiglie di prodotto</t>
  </si>
  <si>
    <t xml:space="preserve">Rilevazione del 24/09/2026 · unità = prodotto padre con fascia da-a · disponibilità ignorata (conta solo il prezzo) · esclusi Shimano e Tuning</t>
  </si>
  <si>
    <t xml:space="preserve">Prodotti padre a catalogo (senza Shimano/Tuning)</t>
  </si>
  <si>
    <t xml:space="preserve">— con almeno un prezzo trovato sul web</t>
  </si>
  <si>
    <t xml:space="preserve">Righe di confronto totali</t>
  </si>
  <si>
    <t xml:space="preserve">Clan Pesca PIÙ CARA del miglior prezzo web</t>
  </si>
  <si>
    <t xml:space="preserve">Fascia Clan Pesca comprende il miglior prezzo web</t>
  </si>
  <si>
    <t xml:space="preserve">Clan Pesca PIÙ ECONOMICA del miglior prezzo web</t>
  </si>
  <si>
    <t xml:space="preserve">Come leggere: 'più caro' = il miglior prezzo web è sotto la fascia Clan Pesca; 'in fascia' = cade dentro la fascia da-a;</t>
  </si>
  <si>
    <t xml:space="preserve">'più economico' = il web costa più del massimo della fascia. Delta calcolati rispetto al bordo di fascia più vicino.</t>
  </si>
  <si>
    <t xml:space="preserve">Livelli di match: esatto &gt; famiglia &gt; probabile &gt; possibile (colonna nel Dettaglio; i 'possibile' vanno verificati con un click).</t>
  </si>
  <si>
    <t xml:space="preserve">Siti non verificabili in automatico (bot-wall): pescaloccasione, amazon, trovaprezzi, idealo, decathlon, marcosportshop, free-fishing.</t>
  </si>
  <si>
    <t xml:space="preserve">ID</t>
  </si>
  <si>
    <t xml:space="preserve">Marca</t>
  </si>
  <si>
    <t xml:space="preserve">Prodotto (padre)</t>
  </si>
  <si>
    <t xml:space="preserve">Categoria</t>
  </si>
  <si>
    <t xml:space="preserve">CP da</t>
  </si>
  <si>
    <t xml:space="preserve">CP a</t>
  </si>
  <si>
    <t xml:space="preserve">Sito</t>
  </si>
  <si>
    <t xml:space="preserve">Prezzo web</t>
  </si>
  <si>
    <t xml:space="preserve">Fascia web da</t>
  </si>
  <si>
    <t xml:space="preserve">Fascia web a</t>
  </si>
  <si>
    <t xml:space="preserve">Disponibilità</t>
  </si>
  <si>
    <t xml:space="preserve">Livello match</t>
  </si>
  <si>
    <t xml:space="preserve">Delta vs fascia</t>
  </si>
  <si>
    <t xml:space="preserve">Link concorrente</t>
  </si>
  <si>
    <t xml:space="preserve">Link Clan Pesca</t>
  </si>
  <si>
    <t xml:space="preserve">26637</t>
  </si>
  <si>
    <t xml:space="preserve">airrus</t>
  </si>
  <si>
    <t xml:space="preserve">AIRrus Spinning Marmorea</t>
  </si>
  <si>
    <t xml:space="preserve">Spinning e Casting</t>
  </si>
  <si>
    <t xml:space="preserve">bassstoreitaly.com</t>
  </si>
  <si>
    <t xml:space="preserve">disponibile</t>
  </si>
  <si>
    <t xml:space="preserve">famiglia</t>
  </si>
  <si>
    <t xml:space="preserve">apri</t>
  </si>
  <si>
    <t xml:space="preserve">23200</t>
  </si>
  <si>
    <t xml:space="preserve">bkk</t>
  </si>
  <si>
    <t xml:space="preserve">Amo BKK Titan Diver+</t>
  </si>
  <si>
    <t xml:space="preserve">Mare</t>
  </si>
  <si>
    <t xml:space="preserve">pescapromo.it</t>
  </si>
  <si>
    <t xml:space="preserve">esaurito</t>
  </si>
  <si>
    <t xml:space="preserve">23210</t>
  </si>
  <si>
    <t xml:space="preserve">Amo BKK Titan Rider</t>
  </si>
  <si>
    <t xml:space="preserve">23331</t>
  </si>
  <si>
    <t xml:space="preserve">BKK Assist Spear 21 SS</t>
  </si>
  <si>
    <t xml:space="preserve">esatto</t>
  </si>
  <si>
    <t xml:space="preserve">23338</t>
  </si>
  <si>
    <t xml:space="preserve">BKK Assist Spear UVO</t>
  </si>
  <si>
    <t xml:space="preserve">26220</t>
  </si>
  <si>
    <t xml:space="preserve">BKK Basilisk</t>
  </si>
  <si>
    <t xml:space="preserve">28015</t>
  </si>
  <si>
    <t xml:space="preserve">BKK CHAIN-21 STINGER</t>
  </si>
  <si>
    <t xml:space="preserve">Luccio</t>
  </si>
  <si>
    <t xml:space="preserve">23446</t>
  </si>
  <si>
    <t xml:space="preserve">BKK Chaser Punch LRF</t>
  </si>
  <si>
    <t xml:space="preserve">24618</t>
  </si>
  <si>
    <t xml:space="preserve">BKK Complete Armor Point OCD Kit</t>
  </si>
  <si>
    <t xml:space="preserve">23239</t>
  </si>
  <si>
    <t xml:space="preserve">BKK DSS Worm</t>
  </si>
  <si>
    <t xml:space="preserve">23242</t>
  </si>
  <si>
    <t xml:space="preserve">BKK DSS Worm UVO</t>
  </si>
  <si>
    <t xml:space="preserve">26309</t>
  </si>
  <si>
    <t xml:space="preserve">BKK Dropshot Armor Point</t>
  </si>
  <si>
    <t xml:space="preserve">26268</t>
  </si>
  <si>
    <t xml:space="preserve">BKK Dropshot Long Shank Armor Point</t>
  </si>
  <si>
    <t xml:space="preserve">23370</t>
  </si>
  <si>
    <t xml:space="preserve">BKK Duolock Snap 51</t>
  </si>
  <si>
    <t xml:space="preserve">23351</t>
  </si>
  <si>
    <t xml:space="preserve">BKK IWS Lead</t>
  </si>
  <si>
    <t xml:space="preserve">Siluro</t>
  </si>
  <si>
    <t xml:space="preserve">23228</t>
  </si>
  <si>
    <t xml:space="preserve">BKK Native 12 BL SS</t>
  </si>
  <si>
    <t xml:space="preserve">23220</t>
  </si>
  <si>
    <t xml:space="preserve">BKK Native 12 SS</t>
  </si>
  <si>
    <t xml:space="preserve">25231</t>
  </si>
  <si>
    <t xml:space="preserve">BKK OCD Accessory Box-S</t>
  </si>
  <si>
    <t xml:space="preserve">25220</t>
  </si>
  <si>
    <t xml:space="preserve">BKK OCD Tackle System-A2</t>
  </si>
  <si>
    <t xml:space="preserve">25225</t>
  </si>
  <si>
    <t xml:space="preserve">BKK OCD Tackle System-A2 Loaded</t>
  </si>
  <si>
    <t xml:space="preserve">26255</t>
  </si>
  <si>
    <t xml:space="preserve">BKK Permalock Weighted</t>
  </si>
  <si>
    <t xml:space="preserve">Minuteria</t>
  </si>
  <si>
    <t xml:space="preserve">23216</t>
  </si>
  <si>
    <t xml:space="preserve">BKK Reefmaster NP</t>
  </si>
  <si>
    <t xml:space="preserve">23466</t>
  </si>
  <si>
    <t xml:space="preserve">BKK Round Elite Classic</t>
  </si>
  <si>
    <t xml:space="preserve">26342</t>
  </si>
  <si>
    <t xml:space="preserve">BKK Silent Chaser EWG</t>
  </si>
  <si>
    <t xml:space="preserve">26236</t>
  </si>
  <si>
    <t xml:space="preserve">BKK Siren</t>
  </si>
  <si>
    <t xml:space="preserve">26235</t>
  </si>
  <si>
    <t xml:space="preserve">BKK Siren #2/0</t>
  </si>
  <si>
    <t xml:space="preserve">possibile</t>
  </si>
  <si>
    <t xml:space="preserve">probabile</t>
  </si>
  <si>
    <t xml:space="preserve">26233</t>
  </si>
  <si>
    <t xml:space="preserve">BKK Siren #4/0</t>
  </si>
  <si>
    <t xml:space="preserve">26234</t>
  </si>
  <si>
    <t xml:space="preserve">BKK Siren #5/0</t>
  </si>
  <si>
    <t xml:space="preserve">23310</t>
  </si>
  <si>
    <t xml:space="preserve">BKK Spear 21 SS</t>
  </si>
  <si>
    <t xml:space="preserve">23326</t>
  </si>
  <si>
    <t xml:space="preserve">BKK Spear 21 UVO</t>
  </si>
  <si>
    <t xml:space="preserve">23471</t>
  </si>
  <si>
    <t xml:space="preserve">BKK Split Ring 41</t>
  </si>
  <si>
    <t xml:space="preserve">megafish.it</t>
  </si>
  <si>
    <t xml:space="preserve">n.d.</t>
  </si>
  <si>
    <t xml:space="preserve">23384</t>
  </si>
  <si>
    <t xml:space="preserve">BKK Split Ring 51</t>
  </si>
  <si>
    <t xml:space="preserve">30052</t>
  </si>
  <si>
    <t xml:space="preserve">BKK Spoon-10 SS</t>
  </si>
  <si>
    <t xml:space="preserve">Trout Area</t>
  </si>
  <si>
    <t xml:space="preserve">26287</t>
  </si>
  <si>
    <t xml:space="preserve">BKK Titan Diver</t>
  </si>
  <si>
    <t xml:space="preserve">32533</t>
  </si>
  <si>
    <t xml:space="preserve">BKK Trailer Hook</t>
  </si>
  <si>
    <t xml:space="preserve">23342</t>
  </si>
  <si>
    <t xml:space="preserve">BKK Trigger 21</t>
  </si>
  <si>
    <t xml:space="preserve">23346</t>
  </si>
  <si>
    <t xml:space="preserve">BKK Trigger 21 UVO</t>
  </si>
  <si>
    <t xml:space="preserve">23360</t>
  </si>
  <si>
    <t xml:space="preserve">BKK Trigger Lead</t>
  </si>
  <si>
    <t xml:space="preserve">23418</t>
  </si>
  <si>
    <t xml:space="preserve">BKK Viper 41</t>
  </si>
  <si>
    <t xml:space="preserve">30030</t>
  </si>
  <si>
    <t xml:space="preserve">blackbay</t>
  </si>
  <si>
    <t xml:space="preserve">Blackbay BlackBug Beetle</t>
  </si>
  <si>
    <t xml:space="preserve">30043</t>
  </si>
  <si>
    <t xml:space="preserve">Blackbay BlackBug Beetle Junior</t>
  </si>
  <si>
    <t xml:space="preserve">29037</t>
  </si>
  <si>
    <t xml:space="preserve">carson</t>
  </si>
  <si>
    <t xml:space="preserve">Carson Canna CatSpin II</t>
  </si>
  <si>
    <t xml:space="preserve">22155</t>
  </si>
  <si>
    <t xml:space="preserve">Carson Canna Dark Matter PJDM-860</t>
  </si>
  <si>
    <t xml:space="preserve">28097</t>
  </si>
  <si>
    <t xml:space="preserve">Carson Cat Stige Power Nylon Leader Mt 50 Lb 165</t>
  </si>
  <si>
    <t xml:space="preserve">15212</t>
  </si>
  <si>
    <t xml:space="preserve">Carson Dark Matter PJDM-970</t>
  </si>
  <si>
    <t xml:space="preserve">Spinning</t>
  </si>
  <si>
    <t xml:space="preserve">16394</t>
  </si>
  <si>
    <t xml:space="preserve">colmic</t>
  </si>
  <si>
    <t xml:space="preserve">Colmic Girelle Side Line Rolling</t>
  </si>
  <si>
    <t xml:space="preserve">bestpesca.com</t>
  </si>
  <si>
    <t xml:space="preserve">15662</t>
  </si>
  <si>
    <t xml:space="preserve">decoy</t>
  </si>
  <si>
    <t xml:space="preserve">Amo Decoy Worm 22</t>
  </si>
  <si>
    <t xml:space="preserve">Ami Wide Gap</t>
  </si>
  <si>
    <t xml:space="preserve">escaepescashop.it</t>
  </si>
  <si>
    <t xml:space="preserve">15621</t>
  </si>
  <si>
    <t xml:space="preserve">Decoy JS-1 Jigging Single Sergeant'N'</t>
  </si>
  <si>
    <t xml:space="preserve">Ami Assist</t>
  </si>
  <si>
    <t xml:space="preserve">15717</t>
  </si>
  <si>
    <t xml:space="preserve">Decoy Worm 117</t>
  </si>
  <si>
    <t xml:space="preserve">Ami da Dropshot</t>
  </si>
  <si>
    <t xml:space="preserve">30143</t>
  </si>
  <si>
    <t xml:space="preserve">ecogear</t>
  </si>
  <si>
    <t xml:space="preserve">Ecogear Grass Minnow M</t>
  </si>
  <si>
    <t xml:space="preserve">30162</t>
  </si>
  <si>
    <t xml:space="preserve">Ecogear Grass Minnow S</t>
  </si>
  <si>
    <t xml:space="preserve">14119</t>
  </si>
  <si>
    <t xml:space="preserve">elitelure</t>
  </si>
  <si>
    <t xml:space="preserve">Elite Lure Shadow Leopard V5</t>
  </si>
  <si>
    <t xml:space="preserve">Lipless</t>
  </si>
  <si>
    <t xml:space="preserve">27979</t>
  </si>
  <si>
    <t xml:space="preserve">favorite</t>
  </si>
  <si>
    <t xml:space="preserve">Favorite Alligator Casting</t>
  </si>
  <si>
    <t xml:space="preserve">30789</t>
  </si>
  <si>
    <t xml:space="preserve">Favorite Alligator Travel</t>
  </si>
  <si>
    <t xml:space="preserve">22535</t>
  </si>
  <si>
    <t xml:space="preserve">Favorite Creed</t>
  </si>
  <si>
    <t xml:space="preserve">21555</t>
  </si>
  <si>
    <t xml:space="preserve">Favorite Mulinello X1</t>
  </si>
  <si>
    <t xml:space="preserve">17276</t>
  </si>
  <si>
    <t xml:space="preserve">Favorite White Bird</t>
  </si>
  <si>
    <t xml:space="preserve">17294</t>
  </si>
  <si>
    <t xml:space="preserve">Favorite X1 PRO</t>
  </si>
  <si>
    <t xml:space="preserve">Canne</t>
  </si>
  <si>
    <t xml:space="preserve">21523</t>
  </si>
  <si>
    <t xml:space="preserve">fiiish</t>
  </si>
  <si>
    <t xml:space="preserve">Fiiish Blaster Shad 160 Gr 53</t>
  </si>
  <si>
    <t xml:space="preserve">21528</t>
  </si>
  <si>
    <t xml:space="preserve">Fiiish Blaster Shad 200 Gr 80</t>
  </si>
  <si>
    <t xml:space="preserve">27991</t>
  </si>
  <si>
    <t xml:space="preserve">Fiiish Double Combo Pug 16 Gr</t>
  </si>
  <si>
    <t xml:space="preserve">27988</t>
  </si>
  <si>
    <t xml:space="preserve">Fiiish Double Combo Pug 7 Gr</t>
  </si>
  <si>
    <t xml:space="preserve">28789</t>
  </si>
  <si>
    <t xml:space="preserve">Fiiish Pit Swimmer Bodies Cm 10 Gr 7.5</t>
  </si>
  <si>
    <t xml:space="preserve">28797</t>
  </si>
  <si>
    <t xml:space="preserve">Fiiish Pit Swimmer Bodies Cm 12.5 Gr 15</t>
  </si>
  <si>
    <t xml:space="preserve">28806</t>
  </si>
  <si>
    <t xml:space="preserve">Fiiish Pit Swimmer Bodies Cm 15 Gr 25</t>
  </si>
  <si>
    <t xml:space="preserve">21053</t>
  </si>
  <si>
    <t xml:space="preserve">fladen</t>
  </si>
  <si>
    <t xml:space="preserve">Fladen Predator Jerk Cm 12 Gr 50</t>
  </si>
  <si>
    <t xml:space="preserve">16814</t>
  </si>
  <si>
    <t xml:space="preserve">Fladen Wading Jacket</t>
  </si>
  <si>
    <t xml:space="preserve">Abbigliamento</t>
  </si>
  <si>
    <t xml:space="preserve">24564</t>
  </si>
  <si>
    <t xml:space="preserve">Giacca Fladen Authentic 5.0 Olive</t>
  </si>
  <si>
    <t xml:space="preserve">20824</t>
  </si>
  <si>
    <t xml:space="preserve">flash-union</t>
  </si>
  <si>
    <t xml:space="preserve">Flash Union Full Metal Sonic Gr 2.5</t>
  </si>
  <si>
    <t xml:space="preserve">20853</t>
  </si>
  <si>
    <t xml:space="preserve">Flash Union Full Metal Sonic Gr 3.5</t>
  </si>
  <si>
    <t xml:space="preserve">28900</t>
  </si>
  <si>
    <t xml:space="preserve">fox-rage</t>
  </si>
  <si>
    <t xml:space="preserve">Fox Rage Replicant Super Natural Carp Cm 18 Gr 104</t>
  </si>
  <si>
    <t xml:space="preserve">28938</t>
  </si>
  <si>
    <t xml:space="preserve">Fox Rage Replicant Wobble Cm 18 Gr 90</t>
  </si>
  <si>
    <t xml:space="preserve">28964</t>
  </si>
  <si>
    <t xml:space="preserve">Fox Rage Super Slick Shad Cm 28 Gr 170</t>
  </si>
  <si>
    <t xml:space="preserve">22932</t>
  </si>
  <si>
    <t xml:space="preserve">game</t>
  </si>
  <si>
    <t xml:space="preserve">Game Aguglia Turbo</t>
  </si>
  <si>
    <t xml:space="preserve">21417</t>
  </si>
  <si>
    <t xml:space="preserve">Pend Eel by Game</t>
  </si>
  <si>
    <t xml:space="preserve">21401</t>
  </si>
  <si>
    <t xml:space="preserve">Pend Minnow by Game 3.75</t>
  </si>
  <si>
    <t xml:space="preserve">21428</t>
  </si>
  <si>
    <t xml:space="preserve">Pend Paddle by Game 3.25</t>
  </si>
  <si>
    <t xml:space="preserve">21434</t>
  </si>
  <si>
    <t xml:space="preserve">Pend Paddle by Game 4.5</t>
  </si>
  <si>
    <t xml:space="preserve">22989</t>
  </si>
  <si>
    <t xml:space="preserve">gary-yamamoto</t>
  </si>
  <si>
    <t xml:space="preserve">Gary Yamamoto Kut Tail 5"</t>
  </si>
  <si>
    <t xml:space="preserve">webpesca.it</t>
  </si>
  <si>
    <t xml:space="preserve">22943</t>
  </si>
  <si>
    <t xml:space="preserve">Gary Yamamoto Senko 4</t>
  </si>
  <si>
    <t xml:space="preserve">22964</t>
  </si>
  <si>
    <t xml:space="preserve">Gary Yamamoto Swim Senko 4</t>
  </si>
  <si>
    <t xml:space="preserve">31044</t>
  </si>
  <si>
    <t xml:space="preserve">gator</t>
  </si>
  <si>
    <t xml:space="preserve">Gator Catfish 11 cm</t>
  </si>
  <si>
    <t xml:space="preserve">31046</t>
  </si>
  <si>
    <t xml:space="preserve">Gator Catfish 25 Cm</t>
  </si>
  <si>
    <t xml:space="preserve">31056</t>
  </si>
  <si>
    <t xml:space="preserve">Gator Catfish 35 cm</t>
  </si>
  <si>
    <t xml:space="preserve">31094</t>
  </si>
  <si>
    <t xml:space="preserve">Gator Gum 12 cm</t>
  </si>
  <si>
    <t xml:space="preserve">31104</t>
  </si>
  <si>
    <t xml:space="preserve">Gator Gum 18 cm</t>
  </si>
  <si>
    <t xml:space="preserve">31144</t>
  </si>
  <si>
    <t xml:space="preserve">Gator Gum 27 Cm</t>
  </si>
  <si>
    <t xml:space="preserve">31118</t>
  </si>
  <si>
    <t xml:space="preserve">Gator Gum 9 Cm</t>
  </si>
  <si>
    <t xml:space="preserve">31167</t>
  </si>
  <si>
    <t xml:space="preserve">Gator Superslow 15 Cm</t>
  </si>
  <si>
    <t xml:space="preserve">31190</t>
  </si>
  <si>
    <t xml:space="preserve">Gator Superslow 20 cm</t>
  </si>
  <si>
    <t xml:space="preserve">31212</t>
  </si>
  <si>
    <t xml:space="preserve">Gator Superslow 25 cm</t>
  </si>
  <si>
    <t xml:space="preserve">24286</t>
  </si>
  <si>
    <t xml:space="preserve">hart</t>
  </si>
  <si>
    <t xml:space="preserve">Hart Canna Nation Cat</t>
  </si>
  <si>
    <t xml:space="preserve">27907</t>
  </si>
  <si>
    <t xml:space="preserve">Hart Magnet 135 mm 26 gr</t>
  </si>
  <si>
    <t xml:space="preserve">28315</t>
  </si>
  <si>
    <t xml:space="preserve">heron</t>
  </si>
  <si>
    <t xml:space="preserve">Heron Crack</t>
  </si>
  <si>
    <t xml:space="preserve">28375</t>
  </si>
  <si>
    <t xml:space="preserve">Heron Crack Tandem</t>
  </si>
  <si>
    <t xml:space="preserve">28410</t>
  </si>
  <si>
    <t xml:space="preserve">Heron Fario</t>
  </si>
  <si>
    <t xml:space="preserve">28237</t>
  </si>
  <si>
    <t xml:space="preserve">Heron Lucciola</t>
  </si>
  <si>
    <t xml:space="preserve">28247</t>
  </si>
  <si>
    <t xml:space="preserve">Heron Lucciola Amo Singolo</t>
  </si>
  <si>
    <t xml:space="preserve">Artificiali</t>
  </si>
  <si>
    <t xml:space="preserve">28300</t>
  </si>
  <si>
    <t xml:space="preserve">Heron Lucciola Tandem</t>
  </si>
  <si>
    <t xml:space="preserve">28538</t>
  </si>
  <si>
    <t xml:space="preserve">Heron Nylon Crack 1 Mt 160</t>
  </si>
  <si>
    <t xml:space="preserve">28531</t>
  </si>
  <si>
    <t xml:space="preserve">Heron Ondulante Doppio</t>
  </si>
  <si>
    <t xml:space="preserve">13667</t>
  </si>
  <si>
    <t xml:space="preserve">Heron Round Jig Head</t>
  </si>
  <si>
    <t xml:space="preserve">Jig Head</t>
  </si>
  <si>
    <t xml:space="preserve">32627</t>
  </si>
  <si>
    <t xml:space="preserve">hideup</t>
  </si>
  <si>
    <t xml:space="preserve">HideUp Coike Fish M Elastomer</t>
  </si>
  <si>
    <t xml:space="preserve">30881</t>
  </si>
  <si>
    <t xml:space="preserve">HideUp Coike Thunder Elastomer</t>
  </si>
  <si>
    <t xml:space="preserve">32640</t>
  </si>
  <si>
    <t xml:space="preserve">Hideup Judyfish 4.2</t>
  </si>
  <si>
    <t xml:space="preserve">13376</t>
  </si>
  <si>
    <t xml:space="preserve">imakatsu</t>
  </si>
  <si>
    <t xml:space="preserve">Imakatsu Javallon 140</t>
  </si>
  <si>
    <t xml:space="preserve">Soft Swimbait</t>
  </si>
  <si>
    <t xml:space="preserve">16240</t>
  </si>
  <si>
    <t xml:space="preserve">ivyline</t>
  </si>
  <si>
    <t xml:space="preserve">Ivyline Acti Gr 1.2</t>
  </si>
  <si>
    <t xml:space="preserve">13492</t>
  </si>
  <si>
    <t xml:space="preserve">Ivyline Acti Mini Gr 1</t>
  </si>
  <si>
    <t xml:space="preserve">Spoon</t>
  </si>
  <si>
    <t xml:space="preserve">33299</t>
  </si>
  <si>
    <t xml:space="preserve">keitech</t>
  </si>
  <si>
    <t xml:space="preserve">Keitech Shad Impact 2″</t>
  </si>
  <si>
    <t xml:space="preserve">33328</t>
  </si>
  <si>
    <t xml:space="preserve">Keitech Shad Impact 3″</t>
  </si>
  <si>
    <t xml:space="preserve">23042</t>
  </si>
  <si>
    <t xml:space="preserve">Keitech Swing Impact 3"</t>
  </si>
  <si>
    <t xml:space="preserve">23065</t>
  </si>
  <si>
    <t xml:space="preserve">Keitech Swing Impact 4"</t>
  </si>
  <si>
    <t xml:space="preserve">33066</t>
  </si>
  <si>
    <t xml:space="preserve">Keitech Swing Impact FAT 7.8"</t>
  </si>
  <si>
    <t xml:space="preserve">21456</t>
  </si>
  <si>
    <t xml:space="preserve">legio-aurea</t>
  </si>
  <si>
    <t xml:space="preserve">Legio Aurea Augustus 4.5</t>
  </si>
  <si>
    <t xml:space="preserve">21471</t>
  </si>
  <si>
    <t xml:space="preserve">Legio Aurea Commodus 5</t>
  </si>
  <si>
    <t xml:space="preserve">21485</t>
  </si>
  <si>
    <t xml:space="preserve">Legio Aurea Roma 4.5</t>
  </si>
  <si>
    <t xml:space="preserve">21450</t>
  </si>
  <si>
    <t xml:space="preserve">Legio Aurea Scorpio 4.25</t>
  </si>
  <si>
    <t xml:space="preserve">21464</t>
  </si>
  <si>
    <t xml:space="preserve">Legio Aurea Serpens 4.25</t>
  </si>
  <si>
    <t xml:space="preserve">27403</t>
  </si>
  <si>
    <t xml:space="preserve">little-jack</t>
  </si>
  <si>
    <t xml:space="preserve">Little Jack Metal Adict Type 0 Gr 20</t>
  </si>
  <si>
    <t xml:space="preserve">27420</t>
  </si>
  <si>
    <t xml:space="preserve">Little Jack Metal Adict Type 0 Gr 30</t>
  </si>
  <si>
    <t xml:space="preserve">27433</t>
  </si>
  <si>
    <t xml:space="preserve">Little Jack Metal Adict Type 0 Gr 40</t>
  </si>
  <si>
    <t xml:space="preserve">27453</t>
  </si>
  <si>
    <t xml:space="preserve">Little Jack Metal Adict Type 1 Gr 12</t>
  </si>
  <si>
    <t xml:space="preserve">27472</t>
  </si>
  <si>
    <t xml:space="preserve">Little Jack Metal Adict Type 1 Gr 18</t>
  </si>
  <si>
    <t xml:space="preserve">27497</t>
  </si>
  <si>
    <t xml:space="preserve">Little Jack Metal Adict Type 1 Gr 30</t>
  </si>
  <si>
    <t xml:space="preserve">22785</t>
  </si>
  <si>
    <t xml:space="preserve">livetarget</t>
  </si>
  <si>
    <t xml:space="preserve">LiveTarget Freestyle Frog 3"</t>
  </si>
  <si>
    <t xml:space="preserve">22793</t>
  </si>
  <si>
    <t xml:space="preserve">LiveTarget Freestyle Frog 3.1/2</t>
  </si>
  <si>
    <t xml:space="preserve">16327</t>
  </si>
  <si>
    <t xml:space="preserve">Livetarget Adult Trout Swimbait</t>
  </si>
  <si>
    <t xml:space="preserve">24831</t>
  </si>
  <si>
    <t xml:space="preserve">Livetarget Sunfish Swimbait Cm 11,10 Gr 29</t>
  </si>
  <si>
    <t xml:space="preserve">15356</t>
  </si>
  <si>
    <t xml:space="preserve">lucky-craft</t>
  </si>
  <si>
    <t xml:space="preserve">Lucky Craft LC 2.5 Shallow Crank</t>
  </si>
  <si>
    <t xml:space="preserve">Crankbait</t>
  </si>
  <si>
    <t xml:space="preserve">26159</t>
  </si>
  <si>
    <t xml:space="preserve">lucky-john</t>
  </si>
  <si>
    <t xml:space="preserve">Lucky John Kubira Swim Shad 10.3</t>
  </si>
  <si>
    <t xml:space="preserve">26185</t>
  </si>
  <si>
    <t xml:space="preserve">Lucky John Kubira Swim Shad 7”</t>
  </si>
  <si>
    <t xml:space="preserve">26189</t>
  </si>
  <si>
    <t xml:space="preserve">Lucky John Kubira Swim Shad 9”</t>
  </si>
  <si>
    <t xml:space="preserve">31390</t>
  </si>
  <si>
    <t xml:space="preserve">major-craft</t>
  </si>
  <si>
    <t xml:space="preserve">Major Craft Ceana Italy Edition</t>
  </si>
  <si>
    <t xml:space="preserve">26592</t>
  </si>
  <si>
    <t xml:space="preserve">Mulinello Ceana Major Craft</t>
  </si>
  <si>
    <t xml:space="preserve">21984</t>
  </si>
  <si>
    <t xml:space="preserve">meiho</t>
  </si>
  <si>
    <t xml:space="preserve">Valigetta Meiho VS 3078</t>
  </si>
  <si>
    <t xml:space="preserve">21970</t>
  </si>
  <si>
    <t xml:space="preserve">Valigetta Meiho VS 3080</t>
  </si>
  <si>
    <t xml:space="preserve">27161</t>
  </si>
  <si>
    <t xml:space="preserve">mikado</t>
  </si>
  <si>
    <t xml:space="preserve">Mikado Cat Territory</t>
  </si>
  <si>
    <t xml:space="preserve">12751</t>
  </si>
  <si>
    <t xml:space="preserve">molix</t>
  </si>
  <si>
    <t xml:space="preserve">Molix Caleo Craw 4"</t>
  </si>
  <si>
    <t xml:space="preserve">Creature &amp; Craw</t>
  </si>
  <si>
    <t xml:space="preserve">12764</t>
  </si>
  <si>
    <t xml:space="preserve">Molix Craw Flex 3"</t>
  </si>
  <si>
    <t xml:space="preserve">14873</t>
  </si>
  <si>
    <t xml:space="preserve">Molix Creature 4"</t>
  </si>
  <si>
    <t xml:space="preserve">12797</t>
  </si>
  <si>
    <t xml:space="preserve">Molix Elite Area Spoon Gr 0.8</t>
  </si>
  <si>
    <t xml:space="preserve">12767</t>
  </si>
  <si>
    <t xml:space="preserve">Molix Finder Jerk 150</t>
  </si>
  <si>
    <t xml:space="preserve">Jerkbait</t>
  </si>
  <si>
    <t xml:space="preserve">25504</t>
  </si>
  <si>
    <t xml:space="preserve">Molix Finder Jerk EVO 110 Suspending Cm 11 Gr 9.5</t>
  </si>
  <si>
    <t xml:space="preserve">25290</t>
  </si>
  <si>
    <t xml:space="preserve">Molix Finder Jerk EVO 125 F cm 12.5 gr 15</t>
  </si>
  <si>
    <t xml:space="preserve">25878</t>
  </si>
  <si>
    <t xml:space="preserve">Molix Finder Jerk EVO 150 SS</t>
  </si>
  <si>
    <t xml:space="preserve">32109</t>
  </si>
  <si>
    <t xml:space="preserve">Molix Finder Jerk EVO 90 SP</t>
  </si>
  <si>
    <t xml:space="preserve">14925</t>
  </si>
  <si>
    <t xml:space="preserve">Molix Fioretto Speciale</t>
  </si>
  <si>
    <t xml:space="preserve">Monopezzo</t>
  </si>
  <si>
    <t xml:space="preserve">24349</t>
  </si>
  <si>
    <t xml:space="preserve">Molix Fioretto Trofeo Casting</t>
  </si>
  <si>
    <t xml:space="preserve">14192</t>
  </si>
  <si>
    <t xml:space="preserve">Molix Fluorocarbon 70 MT</t>
  </si>
  <si>
    <t xml:space="preserve">Fili Fluorocarbon</t>
  </si>
  <si>
    <t xml:space="preserve">12820</t>
  </si>
  <si>
    <t xml:space="preserve">Molix Freaky Craw 2.8"</t>
  </si>
  <si>
    <t xml:space="preserve">12808</t>
  </si>
  <si>
    <t xml:space="preserve">Molix Freaky Craw 4"</t>
  </si>
  <si>
    <t xml:space="preserve">12828</t>
  </si>
  <si>
    <t xml:space="preserve">Molix Freaky Flex 3"</t>
  </si>
  <si>
    <t xml:space="preserve">12862</t>
  </si>
  <si>
    <t xml:space="preserve">Molix Freaky Flip 4"</t>
  </si>
  <si>
    <t xml:space="preserve">25874</t>
  </si>
  <si>
    <t xml:space="preserve">Molix Glide Bait 130 Dying</t>
  </si>
  <si>
    <t xml:space="preserve">20631</t>
  </si>
  <si>
    <t xml:space="preserve">Molix Glide Bait 130 Floating</t>
  </si>
  <si>
    <t xml:space="preserve">20672</t>
  </si>
  <si>
    <t xml:space="preserve">Molix Glide Bait 130 Slow Sinking</t>
  </si>
  <si>
    <t xml:space="preserve">12835</t>
  </si>
  <si>
    <t xml:space="preserve">Molix Glide Bait 140 Floating</t>
  </si>
  <si>
    <t xml:space="preserve">Swimbait Luccio</t>
  </si>
  <si>
    <t xml:space="preserve">12843</t>
  </si>
  <si>
    <t xml:space="preserve">Molix Glide Bait 140 Floating Lip</t>
  </si>
  <si>
    <t xml:space="preserve">26873</t>
  </si>
  <si>
    <t xml:space="preserve">Molix Glide Bait 140 Slow Sinking Cm 14 Gr 68</t>
  </si>
  <si>
    <t xml:space="preserve">12849</t>
  </si>
  <si>
    <t xml:space="preserve">Molix Glide Bait 178 Floating</t>
  </si>
  <si>
    <t xml:space="preserve">12791</t>
  </si>
  <si>
    <t xml:space="preserve">Molix Glide Bait 178 Slow Sinking</t>
  </si>
  <si>
    <t xml:space="preserve">30697</t>
  </si>
  <si>
    <t xml:space="preserve">Molix Glide Bait 90 SS CM 9 Gr 12.5</t>
  </si>
  <si>
    <t xml:space="preserve">12878</t>
  </si>
  <si>
    <t xml:space="preserve">Molix Hybrid Swimmer 165</t>
  </si>
  <si>
    <t xml:space="preserve">12952</t>
  </si>
  <si>
    <t xml:space="preserve">Molix Hyper Split Ring</t>
  </si>
  <si>
    <t xml:space="preserve">Girelle &amp; Moschettoni</t>
  </si>
  <si>
    <t xml:space="preserve">12957</t>
  </si>
  <si>
    <t xml:space="preserve">Molix Insert Tungsten</t>
  </si>
  <si>
    <t xml:space="preserve">Piombi</t>
  </si>
  <si>
    <t xml:space="preserve">12925</t>
  </si>
  <si>
    <t xml:space="preserve">Molix Jig Blades</t>
  </si>
  <si>
    <t xml:space="preserve">31765</t>
  </si>
  <si>
    <t xml:space="preserve">Molix Jubarino Cm 5 Gr 2.5</t>
  </si>
  <si>
    <t xml:space="preserve">15439</t>
  </si>
  <si>
    <t xml:space="preserve">Molix Jugulo Casting Jig Gr 40</t>
  </si>
  <si>
    <t xml:space="preserve">Metal Jig</t>
  </si>
  <si>
    <t xml:space="preserve">15424</t>
  </si>
  <si>
    <t xml:space="preserve">Molix Jugulo Casting Jig Gr. 15</t>
  </si>
  <si>
    <t xml:space="preserve">15113</t>
  </si>
  <si>
    <t xml:space="preserve">Molix Jugulo Casting Jig Gr. 20</t>
  </si>
  <si>
    <t xml:space="preserve">15431</t>
  </si>
  <si>
    <t xml:space="preserve">Molix Jugulo Casting Jig Gr. 25</t>
  </si>
  <si>
    <t xml:space="preserve">15434</t>
  </si>
  <si>
    <t xml:space="preserve">Molix Jugulo Casting Jig Gr. 30</t>
  </si>
  <si>
    <t xml:space="preserve">25928</t>
  </si>
  <si>
    <t xml:space="preserve">Molix Jugulo Plus Casting Jig Gr 10</t>
  </si>
  <si>
    <t xml:space="preserve">25935</t>
  </si>
  <si>
    <t xml:space="preserve">Molix Jugulo Plus Casting Jig Gr 20</t>
  </si>
  <si>
    <t xml:space="preserve">25941</t>
  </si>
  <si>
    <t xml:space="preserve">Molix Jugulo Plus Casting Jig Gr 30</t>
  </si>
  <si>
    <t xml:space="preserve">25953</t>
  </si>
  <si>
    <t xml:space="preserve">Molix Jugulo Plus Casting Jig Gr 40</t>
  </si>
  <si>
    <t xml:space="preserve">25963</t>
  </si>
  <si>
    <t xml:space="preserve">Molix Jugulo Plus Casting Jig Gr 60</t>
  </si>
  <si>
    <t xml:space="preserve">25972</t>
  </si>
  <si>
    <t xml:space="preserve">Molix Jugulo Plus Casting Jig Gr 80</t>
  </si>
  <si>
    <t xml:space="preserve">12893</t>
  </si>
  <si>
    <t xml:space="preserve">Molix Jugulo Wide Casting Jig Gr 10</t>
  </si>
  <si>
    <t xml:space="preserve">25729</t>
  </si>
  <si>
    <t xml:space="preserve">Molix Jugulo Wide Casting Jig Gr 30</t>
  </si>
  <si>
    <t xml:space="preserve">14827</t>
  </si>
  <si>
    <t xml:space="preserve">Molix Jugulo Wide Casting Jig Gr 60</t>
  </si>
  <si>
    <t xml:space="preserve">12886</t>
  </si>
  <si>
    <t xml:space="preserve">Molix Jugulo Wide Casting Jig Gr 7</t>
  </si>
  <si>
    <t xml:space="preserve">12921</t>
  </si>
  <si>
    <t xml:space="preserve">Molix Jugulo Wide Casting Jig Gr. 20</t>
  </si>
  <si>
    <t xml:space="preserve">14913</t>
  </si>
  <si>
    <t xml:space="preserve">Molix Outset Casting Series</t>
  </si>
  <si>
    <t xml:space="preserve">20454</t>
  </si>
  <si>
    <t xml:space="preserve">Molix Pop Frog Cm 6.5 Gr 18</t>
  </si>
  <si>
    <t xml:space="preserve">30737</t>
  </si>
  <si>
    <t xml:space="preserve">Molix RA Shad 4 Flat</t>
  </si>
  <si>
    <t xml:space="preserve">12897</t>
  </si>
  <si>
    <t xml:space="preserve">Molix RT Fork Flex 3"</t>
  </si>
  <si>
    <t xml:space="preserve">Siliconici</t>
  </si>
  <si>
    <t xml:space="preserve">12939</t>
  </si>
  <si>
    <t xml:space="preserve">Molix RT Fork Flex 4"</t>
  </si>
  <si>
    <t xml:space="preserve">12908</t>
  </si>
  <si>
    <t xml:space="preserve">Molix RT Fork Flex 5"</t>
  </si>
  <si>
    <t xml:space="preserve">12923</t>
  </si>
  <si>
    <t xml:space="preserve">Molix RT Fork Flex 6"</t>
  </si>
  <si>
    <t xml:space="preserve">Shad</t>
  </si>
  <si>
    <t xml:space="preserve">28451</t>
  </si>
  <si>
    <t xml:space="preserve">Molix RT Shad 2.8</t>
  </si>
  <si>
    <t xml:space="preserve">15093</t>
  </si>
  <si>
    <t xml:space="preserve">Molix RT Shad 3.5"</t>
  </si>
  <si>
    <t xml:space="preserve">26420</t>
  </si>
  <si>
    <t xml:space="preserve">Molix RT Shad 4" Slim</t>
  </si>
  <si>
    <t xml:space="preserve">15097</t>
  </si>
  <si>
    <t xml:space="preserve">Molix RT Shad 4.5"</t>
  </si>
  <si>
    <t xml:space="preserve">15106</t>
  </si>
  <si>
    <t xml:space="preserve">Molix RT Shad 5.5"</t>
  </si>
  <si>
    <t xml:space="preserve">25102</t>
  </si>
  <si>
    <t xml:space="preserve">Molix RT Shad 7"</t>
  </si>
  <si>
    <t xml:space="preserve">14095</t>
  </si>
  <si>
    <t xml:space="preserve">Molix Ra Grub 6"</t>
  </si>
  <si>
    <t xml:space="preserve">14938</t>
  </si>
  <si>
    <t xml:space="preserve">Molix Ra Shad 2"</t>
  </si>
  <si>
    <t xml:space="preserve">14952</t>
  </si>
  <si>
    <t xml:space="preserve">Molix Ra Shad 2.5"</t>
  </si>
  <si>
    <t xml:space="preserve">14966</t>
  </si>
  <si>
    <t xml:space="preserve">Molix Ra Shad 3"</t>
  </si>
  <si>
    <t xml:space="preserve">15047</t>
  </si>
  <si>
    <t xml:space="preserve">Molix Ra Shad 3" Fat</t>
  </si>
  <si>
    <t xml:space="preserve">14972</t>
  </si>
  <si>
    <t xml:space="preserve">Molix Ra Shad 3.5"</t>
  </si>
  <si>
    <t xml:space="preserve">14984</t>
  </si>
  <si>
    <t xml:space="preserve">Molix Ra Shad 3.8"</t>
  </si>
  <si>
    <t xml:space="preserve">15053</t>
  </si>
  <si>
    <t xml:space="preserve">Molix Ra Shad 4.5"</t>
  </si>
  <si>
    <t xml:space="preserve">14043</t>
  </si>
  <si>
    <t xml:space="preserve">Molix Ra Twin 4" Bulk</t>
  </si>
  <si>
    <t xml:space="preserve">Grub</t>
  </si>
  <si>
    <t xml:space="preserve">14264</t>
  </si>
  <si>
    <t xml:space="preserve">Molix Rod Case</t>
  </si>
  <si>
    <t xml:space="preserve">Foderi Portacanne</t>
  </si>
  <si>
    <t xml:space="preserve">16071</t>
  </si>
  <si>
    <t xml:space="preserve">Molix S-Stick</t>
  </si>
  <si>
    <t xml:space="preserve">14898</t>
  </si>
  <si>
    <t xml:space="preserve">Molix SC Bug</t>
  </si>
  <si>
    <t xml:space="preserve">26467</t>
  </si>
  <si>
    <t xml:space="preserve">Molix SG Multi Pliers</t>
  </si>
  <si>
    <t xml:space="preserve">14855</t>
  </si>
  <si>
    <t xml:space="preserve">Molix SV Craw</t>
  </si>
  <si>
    <t xml:space="preserve">14889</t>
  </si>
  <si>
    <t xml:space="preserve">Molix SWD Swimming Dragonfly 5"</t>
  </si>
  <si>
    <t xml:space="preserve">16020</t>
  </si>
  <si>
    <t xml:space="preserve">Molix Sator Worm 4"</t>
  </si>
  <si>
    <t xml:space="preserve">16029</t>
  </si>
  <si>
    <t xml:space="preserve">Molix Sator Worm 5"</t>
  </si>
  <si>
    <t xml:space="preserve">16047</t>
  </si>
  <si>
    <t xml:space="preserve">Molix Sator Worm 5.8"</t>
  </si>
  <si>
    <t xml:space="preserve">14838</t>
  </si>
  <si>
    <t xml:space="preserve">Molix Sculpo DR Rattlin</t>
  </si>
  <si>
    <t xml:space="preserve">14850</t>
  </si>
  <si>
    <t xml:space="preserve">Molix Sculpo XD Rattlin</t>
  </si>
  <si>
    <t xml:space="preserve">15128</t>
  </si>
  <si>
    <t xml:space="preserve">Molix Shad 100</t>
  </si>
  <si>
    <t xml:space="preserve">Soft Shad</t>
  </si>
  <si>
    <t xml:space="preserve">15130</t>
  </si>
  <si>
    <t xml:space="preserve">Molix Shad 120</t>
  </si>
  <si>
    <t xml:space="preserve">21163</t>
  </si>
  <si>
    <t xml:space="preserve">Molix Shad 140</t>
  </si>
  <si>
    <t xml:space="preserve">21318</t>
  </si>
  <si>
    <t xml:space="preserve">Molix Shad 185 Gr 100 Cm 18,5</t>
  </si>
  <si>
    <t xml:space="preserve">31267</t>
  </si>
  <si>
    <t xml:space="preserve">Molix Sight Marker</t>
  </si>
  <si>
    <t xml:space="preserve">16097</t>
  </si>
  <si>
    <t xml:space="preserve">Molix Sligo 5"</t>
  </si>
  <si>
    <t xml:space="preserve">20476</t>
  </si>
  <si>
    <t xml:space="preserve">Molix Sneaky Frog 90 EVO</t>
  </si>
  <si>
    <t xml:space="preserve">25535</t>
  </si>
  <si>
    <t xml:space="preserve">Molix Sneaky Worm</t>
  </si>
  <si>
    <t xml:space="preserve">20692</t>
  </si>
  <si>
    <t xml:space="preserve">Molix Soft Lipless Vib 55 14 Gr 5.5 Cm</t>
  </si>
  <si>
    <t xml:space="preserve">20889</t>
  </si>
  <si>
    <t xml:space="preserve">Molix Spin Shad 110</t>
  </si>
  <si>
    <t xml:space="preserve">20894</t>
  </si>
  <si>
    <t xml:space="preserve">Molix Spin Shad 160</t>
  </si>
  <si>
    <t xml:space="preserve">26915</t>
  </si>
  <si>
    <t xml:space="preserve">Molix Stick Flex 2.75  Cm 7</t>
  </si>
  <si>
    <t xml:space="preserve">26944</t>
  </si>
  <si>
    <t xml:space="preserve">Molix Stick Flex 4.5 Cm 11.40</t>
  </si>
  <si>
    <t xml:space="preserve">20436</t>
  </si>
  <si>
    <t xml:space="preserve">Molix Supernato Beetle Cm 7.5 Gr 17</t>
  </si>
  <si>
    <t xml:space="preserve">32481</t>
  </si>
  <si>
    <t xml:space="preserve">Molix Supernato Frog R</t>
  </si>
  <si>
    <t xml:space="preserve">14132</t>
  </si>
  <si>
    <t xml:space="preserve">Molix Trago 65 Spyblade</t>
  </si>
  <si>
    <t xml:space="preserve">15177</t>
  </si>
  <si>
    <t xml:space="preserve">Molix Trout Spoon Gr 1.5</t>
  </si>
  <si>
    <t xml:space="preserve">15181</t>
  </si>
  <si>
    <t xml:space="preserve">Molix Trout Spoon Gr 2.5</t>
  </si>
  <si>
    <t xml:space="preserve">15189</t>
  </si>
  <si>
    <t xml:space="preserve">Molix Trout Spoon Gr 3.5</t>
  </si>
  <si>
    <t xml:space="preserve">13919</t>
  </si>
  <si>
    <t xml:space="preserve">Molix Waterproof Elite</t>
  </si>
  <si>
    <t xml:space="preserve">Borse</t>
  </si>
  <si>
    <t xml:space="preserve">23149</t>
  </si>
  <si>
    <t xml:space="preserve">mustad</t>
  </si>
  <si>
    <t xml:space="preserve">Mustad  Infiltrator Blade Weight</t>
  </si>
  <si>
    <t xml:space="preserve">23131</t>
  </si>
  <si>
    <t xml:space="preserve">Mustad Apex Wide Dropshot</t>
  </si>
  <si>
    <t xml:space="preserve">23143</t>
  </si>
  <si>
    <t xml:space="preserve">Mustad Assault Wide Gap</t>
  </si>
  <si>
    <t xml:space="preserve">23156</t>
  </si>
  <si>
    <t xml:space="preserve">Mustad Infiltrator Swim</t>
  </si>
  <si>
    <t xml:space="preserve">30903</t>
  </si>
  <si>
    <t xml:space="preserve">nories</t>
  </si>
  <si>
    <t xml:space="preserve">Nories Clionex 2"</t>
  </si>
  <si>
    <t xml:space="preserve">31003</t>
  </si>
  <si>
    <t xml:space="preserve">Nories Front Flapper Curly 4"</t>
  </si>
  <si>
    <t xml:space="preserve">30859</t>
  </si>
  <si>
    <t xml:space="preserve">Nories Joint Fukabait 127 mm 44 Gr</t>
  </si>
  <si>
    <t xml:space="preserve">31029</t>
  </si>
  <si>
    <t xml:space="preserve">Nories Lady Fish 3-1/2"</t>
  </si>
  <si>
    <t xml:space="preserve">29256</t>
  </si>
  <si>
    <t xml:space="preserve">Nories Rooney 1.8</t>
  </si>
  <si>
    <t xml:space="preserve">29283</t>
  </si>
  <si>
    <t xml:space="preserve">Nories Rooney 2.2</t>
  </si>
  <si>
    <t xml:space="preserve">29321</t>
  </si>
  <si>
    <t xml:space="preserve">Nories Rooney 2.8</t>
  </si>
  <si>
    <t xml:space="preserve">31016</t>
  </si>
  <si>
    <t xml:space="preserve">Nories Sankaku T-San 5"</t>
  </si>
  <si>
    <t xml:space="preserve">29364</t>
  </si>
  <si>
    <t xml:space="preserve">Nories Sofia Gr 1.6</t>
  </si>
  <si>
    <t xml:space="preserve">29390</t>
  </si>
  <si>
    <t xml:space="preserve">Nories Spoon Tulle Gr 3.0</t>
  </si>
  <si>
    <t xml:space="preserve">29408</t>
  </si>
  <si>
    <t xml:space="preserve">Nories Spoon Tulle Gr 3.5</t>
  </si>
  <si>
    <t xml:space="preserve">32506</t>
  </si>
  <si>
    <t xml:space="preserve">Nories Tanny Frog 2"</t>
  </si>
  <si>
    <t xml:space="preserve">32521</t>
  </si>
  <si>
    <t xml:space="preserve">Nories Tanny Frog Popper</t>
  </si>
  <si>
    <t xml:space="preserve">13051</t>
  </si>
  <si>
    <t xml:space="preserve">omtd</t>
  </si>
  <si>
    <t xml:space="preserve">OMTD Drop Shot OH1200</t>
  </si>
  <si>
    <t xml:space="preserve">13727</t>
  </si>
  <si>
    <t xml:space="preserve">OMTD Ned Rig Jig Head OJ1900</t>
  </si>
  <si>
    <t xml:space="preserve">13106</t>
  </si>
  <si>
    <t xml:space="preserve">OMTD Single Lure Hook OH1700</t>
  </si>
  <si>
    <t xml:space="preserve">Ami</t>
  </si>
  <si>
    <t xml:space="preserve">13333</t>
  </si>
  <si>
    <t xml:space="preserve">OMTD Swimbait Hook OH2700</t>
  </si>
  <si>
    <t xml:space="preserve">Ami da Gomma</t>
  </si>
  <si>
    <t xml:space="preserve">13072</t>
  </si>
  <si>
    <t xml:space="preserve">OMTD Swimbait Weighted OH1500</t>
  </si>
  <si>
    <t xml:space="preserve">15162</t>
  </si>
  <si>
    <t xml:space="preserve">OMTD Swimming WT OJ1800</t>
  </si>
  <si>
    <t xml:space="preserve">13367</t>
  </si>
  <si>
    <t xml:space="preserve">OMTD T Power Finesse OJ200</t>
  </si>
  <si>
    <t xml:space="preserve">13366</t>
  </si>
  <si>
    <t xml:space="preserve">OMTD T Trout OJ700</t>
  </si>
  <si>
    <t xml:space="preserve">13291</t>
  </si>
  <si>
    <t xml:space="preserve">Omtd Big Swimbait Bladed Hook</t>
  </si>
  <si>
    <t xml:space="preserve">13305</t>
  </si>
  <si>
    <t xml:space="preserve">Omtd Big Swimbait Hook</t>
  </si>
  <si>
    <t xml:space="preserve">14557</t>
  </si>
  <si>
    <t xml:space="preserve">owner</t>
  </si>
  <si>
    <t xml:space="preserve">Owner 5121 Welded Quick Snap</t>
  </si>
  <si>
    <t xml:space="preserve">14560</t>
  </si>
  <si>
    <t xml:space="preserve">Owner 5122 Jig Rig W-Lead Sinker</t>
  </si>
  <si>
    <t xml:space="preserve">14573</t>
  </si>
  <si>
    <t xml:space="preserve">Owner 5140 J-Hook</t>
  </si>
  <si>
    <t xml:space="preserve">14600</t>
  </si>
  <si>
    <t xml:space="preserve">Owner 5155 Lead Sinker</t>
  </si>
  <si>
    <t xml:space="preserve">14633</t>
  </si>
  <si>
    <t xml:space="preserve">Owner 51725 SBL-47</t>
  </si>
  <si>
    <t xml:space="preserve">Ami senza Ardiglione</t>
  </si>
  <si>
    <t xml:space="preserve">13611</t>
  </si>
  <si>
    <t xml:space="preserve">Owner Ancorette ST 36 BC 5636</t>
  </si>
  <si>
    <t xml:space="preserve">Ancorette</t>
  </si>
  <si>
    <t xml:space="preserve">13619</t>
  </si>
  <si>
    <t xml:space="preserve">Owner Ancorette ST 41 BC 5641</t>
  </si>
  <si>
    <t xml:space="preserve">13601</t>
  </si>
  <si>
    <t xml:space="preserve">Owner Split Ring Hyper Wire 5196</t>
  </si>
  <si>
    <t xml:space="preserve">14206</t>
  </si>
  <si>
    <t xml:space="preserve">panther-martin</t>
  </si>
  <si>
    <t xml:space="preserve">Panther Martin Ardito Spoon Gr 3</t>
  </si>
  <si>
    <t xml:space="preserve">16930</t>
  </si>
  <si>
    <t xml:space="preserve">Panther Martin Holographic Single Hook</t>
  </si>
  <si>
    <t xml:space="preserve">16957</t>
  </si>
  <si>
    <t xml:space="preserve">Panther Martin Hula Runner</t>
  </si>
  <si>
    <t xml:space="preserve">16885</t>
  </si>
  <si>
    <t xml:space="preserve">Panther Martin Marmorata</t>
  </si>
  <si>
    <t xml:space="preserve">16857</t>
  </si>
  <si>
    <t xml:space="preserve">Panther Martin Vespa Originale</t>
  </si>
  <si>
    <t xml:space="preserve">13872</t>
  </si>
  <si>
    <t xml:space="preserve">rapture</t>
  </si>
  <si>
    <t xml:space="preserve">Rapture Get On Lure Case Bag</t>
  </si>
  <si>
    <t xml:space="preserve">26059</t>
  </si>
  <si>
    <t xml:space="preserve">reins</t>
  </si>
  <si>
    <t xml:space="preserve">Reins G-Tail Saturn 2.5”</t>
  </si>
  <si>
    <t xml:space="preserve">26005</t>
  </si>
  <si>
    <t xml:space="preserve">Reins Rockvibe Shad 2.3</t>
  </si>
  <si>
    <t xml:space="preserve">26088</t>
  </si>
  <si>
    <t xml:space="preserve">Reins S-Cape Shad 3.5"</t>
  </si>
  <si>
    <t xml:space="preserve">26100</t>
  </si>
  <si>
    <t xml:space="preserve">Reins S-Cape Shad 4.8</t>
  </si>
  <si>
    <t xml:space="preserve">29523</t>
  </si>
  <si>
    <t xml:space="preserve">righetti-bait-system</t>
  </si>
  <si>
    <t xml:space="preserve">Righetti Stickworm Cm 8.5</t>
  </si>
  <si>
    <t xml:space="preserve">21563</t>
  </si>
  <si>
    <t xml:space="preserve">ryobi</t>
  </si>
  <si>
    <t xml:space="preserve">Mulinello Ryobi Lagos</t>
  </si>
  <si>
    <t xml:space="preserve">21585</t>
  </si>
  <si>
    <t xml:space="preserve">seika</t>
  </si>
  <si>
    <t xml:space="preserve">Canna Seika Kizuri Pro</t>
  </si>
  <si>
    <t xml:space="preserve">21609</t>
  </si>
  <si>
    <t xml:space="preserve">Canna Seika Utopia</t>
  </si>
  <si>
    <t xml:space="preserve">23658</t>
  </si>
  <si>
    <t xml:space="preserve">Seika Cutter Pro</t>
  </si>
  <si>
    <t xml:space="preserve">25076</t>
  </si>
  <si>
    <t xml:space="preserve">Seika Predator Bag</t>
  </si>
  <si>
    <t xml:space="preserve">23646</t>
  </si>
  <si>
    <t xml:space="preserve">Seika Yo Yo Holder</t>
  </si>
  <si>
    <t xml:space="preserve">22309</t>
  </si>
  <si>
    <t xml:space="preserve">stonfo</t>
  </si>
  <si>
    <t xml:space="preserve">Stonfo Salva Anelli</t>
  </si>
  <si>
    <t xml:space="preserve">13029</t>
  </si>
  <si>
    <t xml:space="preserve">strike-pro</t>
  </si>
  <si>
    <t xml:space="preserve">Strike Pro Bandit Tail Cm 15 Gr 83.5</t>
  </si>
  <si>
    <t xml:space="preserve">13033</t>
  </si>
  <si>
    <t xml:space="preserve">Strike Pro Big Bandit Crank Cm 20</t>
  </si>
  <si>
    <t xml:space="preserve">29068</t>
  </si>
  <si>
    <t xml:space="preserve">tamura</t>
  </si>
  <si>
    <t xml:space="preserve">Tamura Chatterbait</t>
  </si>
  <si>
    <t xml:space="preserve">17093</t>
  </si>
  <si>
    <t xml:space="preserve">Tamura Cranky Fat Long Lip</t>
  </si>
  <si>
    <t xml:space="preserve">28912</t>
  </si>
  <si>
    <t xml:space="preserve">Tamura Cranky Slim F-Lip Cm 6.3 Gr 9.5</t>
  </si>
  <si>
    <t xml:space="preserve">13943</t>
  </si>
  <si>
    <t xml:space="preserve">trabucco</t>
  </si>
  <si>
    <t xml:space="preserve">Trabucco Trecciato Dyna TEX SLK X8 150 MT</t>
  </si>
  <si>
    <t xml:space="preserve">Fili Trecciati</t>
  </si>
  <si>
    <t xml:space="preserve">25372</t>
  </si>
  <si>
    <t xml:space="preserve">tubertini</t>
  </si>
  <si>
    <t xml:space="preserve">Borsa Tubertini Offshore 550</t>
  </si>
  <si>
    <t xml:space="preserve">pescamia.eu</t>
  </si>
  <si>
    <t xml:space="preserve">25418</t>
  </si>
  <si>
    <t xml:space="preserve">Canna Tubertini Ionic 2 TLS</t>
  </si>
  <si>
    <t xml:space="preserve">25430</t>
  </si>
  <si>
    <t xml:space="preserve">Canna Tubertini Sylan</t>
  </si>
  <si>
    <t xml:space="preserve">14367</t>
  </si>
  <si>
    <t xml:space="preserve">Mulinello Tubertini Hylas FD</t>
  </si>
  <si>
    <t xml:space="preserve">Frizione anteriore</t>
  </si>
  <si>
    <t xml:space="preserve">13877</t>
  </si>
  <si>
    <t xml:space="preserve">Tubertini Borsa Titan</t>
  </si>
  <si>
    <t xml:space="preserve">14672</t>
  </si>
  <si>
    <t xml:space="preserve">Tubertini Bos Fluorocarbon 50 MT</t>
  </si>
  <si>
    <t xml:space="preserve">33233</t>
  </si>
  <si>
    <t xml:space="preserve">Tubertini Canna Maniac 4200 AR Gr 3-12</t>
  </si>
  <si>
    <t xml:space="preserve">Canne Trota lago</t>
  </si>
  <si>
    <t xml:space="preserve">21676</t>
  </si>
  <si>
    <t xml:space="preserve">Tubertini Crossover 2 Mt 2.20 Lb 6-12</t>
  </si>
  <si>
    <t xml:space="preserve">13434</t>
  </si>
  <si>
    <t xml:space="preserve">Tubertini Enduro Bag</t>
  </si>
  <si>
    <t xml:space="preserve">13860</t>
  </si>
  <si>
    <t xml:space="preserve">Tubertini Express Feeder</t>
  </si>
  <si>
    <t xml:space="preserve">Ledgering - Feeder - Inglese</t>
  </si>
  <si>
    <t xml:space="preserve">13445</t>
  </si>
  <si>
    <t xml:space="preserve">Tubertini Fodero Cesena</t>
  </si>
  <si>
    <t xml:space="preserve">13442</t>
  </si>
  <si>
    <t xml:space="preserve">Tubertini Fodero Forlì</t>
  </si>
  <si>
    <t xml:space="preserve">25105</t>
  </si>
  <si>
    <t xml:space="preserve">Tubertini Fodero Jocker 1</t>
  </si>
  <si>
    <t xml:space="preserve">20092</t>
  </si>
  <si>
    <t xml:space="preserve">Tubertini Kaliber Surf</t>
  </si>
  <si>
    <t xml:space="preserve">13886</t>
  </si>
  <si>
    <t xml:space="preserve">Tubertini Level Chrome</t>
  </si>
  <si>
    <t xml:space="preserve">Bolognese</t>
  </si>
  <si>
    <t xml:space="preserve">25387</t>
  </si>
  <si>
    <t xml:space="preserve">Tubertini Maggi Box</t>
  </si>
  <si>
    <t xml:space="preserve">17231</t>
  </si>
  <si>
    <t xml:space="preserve">Tubertini Mulinello Wasp</t>
  </si>
  <si>
    <t xml:space="preserve">27258</t>
  </si>
  <si>
    <t xml:space="preserve">Tubertini Mulinello Xide</t>
  </si>
  <si>
    <t xml:space="preserve">15292</t>
  </si>
  <si>
    <t xml:space="preserve">Tubertini Noway Mt 50</t>
  </si>
  <si>
    <t xml:space="preserve">Fili Nylon</t>
  </si>
  <si>
    <t xml:space="preserve">13437</t>
  </si>
  <si>
    <t xml:space="preserve">Tubertini Offshore Bag</t>
  </si>
  <si>
    <t xml:space="preserve">28032</t>
  </si>
  <si>
    <t xml:space="preserve">Tubertini Pencil Feeder</t>
  </si>
  <si>
    <t xml:space="preserve">Tecniche Varie</t>
  </si>
  <si>
    <t xml:space="preserve">20096</t>
  </si>
  <si>
    <t xml:space="preserve">Tubertini Performer</t>
  </si>
  <si>
    <t xml:space="preserve">28118</t>
  </si>
  <si>
    <t xml:space="preserve">Tubertini Raider Handle</t>
  </si>
  <si>
    <t xml:space="preserve">15323</t>
  </si>
  <si>
    <t xml:space="preserve">Tubertini Raion Mt 150</t>
  </si>
  <si>
    <t xml:space="preserve">21681</t>
  </si>
  <si>
    <t xml:space="preserve">Tubertini Sea Master</t>
  </si>
  <si>
    <t xml:space="preserve">15339</t>
  </si>
  <si>
    <t xml:space="preserve">Tubertini Tatanka Evo Mt 150</t>
  </si>
  <si>
    <t xml:space="preserve">14702</t>
  </si>
  <si>
    <t xml:space="preserve">Tubertini Testa di Guadino Impact</t>
  </si>
  <si>
    <t xml:space="preserve">Nasse &amp; Guadini</t>
  </si>
  <si>
    <t xml:space="preserve">14463</t>
  </si>
  <si>
    <t xml:space="preserve">Tubertini Vertigo Black</t>
  </si>
  <si>
    <t xml:space="preserve">21674</t>
  </si>
  <si>
    <t xml:space="preserve">Tubertini Vitality 2 Mt 2.10 Lb 12-20</t>
  </si>
  <si>
    <t xml:space="preserve">21671</t>
  </si>
  <si>
    <t xml:space="preserve">Tubertini Vitality Tuna Mt 2.00 Lb 30-50</t>
  </si>
  <si>
    <t xml:space="preserve">27239</t>
  </si>
  <si>
    <t xml:space="preserve">vision</t>
  </si>
  <si>
    <t xml:space="preserve">Vision Dobb Daddy Dobb</t>
  </si>
  <si>
    <t xml:space="preserve">27220</t>
  </si>
  <si>
    <t xml:space="preserve">Vision SpinFly Dobb Daddy Cm 28 Gr 24</t>
  </si>
  <si>
    <t xml:space="preserve">Clan Pesca da</t>
  </si>
  <si>
    <t xml:space="preserve">Clan Pesca a</t>
  </si>
  <si>
    <t xml:space="preserve">N. siti con prezzo</t>
  </si>
  <si>
    <t xml:space="preserve">Miglior prezzo web</t>
  </si>
  <si>
    <t xml:space="preserve">Sito del migliore</t>
  </si>
  <si>
    <t xml:space="preserve">Posizione Clan Pesca</t>
  </si>
  <si>
    <t xml:space="preserve">Padri a catalogo</t>
  </si>
  <si>
    <t xml:space="preserve">Padri con prezzo web</t>
  </si>
  <si>
    <t xml:space="preserve">Delta mediano vs fascia</t>
  </si>
  <si>
    <t xml:space="preserve">Più caro</t>
  </si>
  <si>
    <t xml:space="preserve">In fascia</t>
  </si>
  <si>
    <t xml:space="preserve">Più economico</t>
  </si>
  <si>
    <t xml:space="preserve">golden-catch</t>
  </si>
  <si>
    <t xml:space="preserve">bone</t>
  </si>
  <si>
    <t xml:space="preserve">hedgehog-studio</t>
  </si>
  <si>
    <t xml:space="preserve">teben</t>
  </si>
  <si>
    <t xml:space="preserve">big-one</t>
  </si>
  <si>
    <t xml:space="preserve">tris</t>
  </si>
  <si>
    <t xml:space="preserve">unitika</t>
  </si>
  <si>
    <t xml:space="preserve">x6x</t>
  </si>
  <si>
    <t xml:space="preserve">sico-lure</t>
  </si>
  <si>
    <t xml:space="preserve">urban-fishing</t>
  </si>
  <si>
    <t xml:space="preserve">zerek-innovation</t>
  </si>
  <si>
    <t xml:space="preserve">lures-factory</t>
  </si>
  <si>
    <t xml:space="preserve">neostyle</t>
  </si>
  <si>
    <t xml:space="preserve">okuma</t>
  </si>
  <si>
    <t xml:space="preserve">zpi</t>
  </si>
  <si>
    <t xml:space="preserve">herakles</t>
  </si>
  <si>
    <t xml:space="preserve">lurefans</t>
  </si>
  <si>
    <t xml:space="preserve">select</t>
  </si>
  <si>
    <t xml:space="preserve">sergio-guerra</t>
  </si>
  <si>
    <t xml:space="preserve">yamanami</t>
  </si>
  <si>
    <t xml:space="preserve">bait-breath</t>
  </si>
  <si>
    <t xml:space="preserve">bass-puzzle</t>
  </si>
  <si>
    <t xml:space="preserve">fabio-zeni</t>
  </si>
  <si>
    <t xml:space="preserve">graff</t>
  </si>
  <si>
    <t xml:space="preserve">marukyu</t>
  </si>
  <si>
    <t xml:space="preserve">momoi</t>
  </si>
  <si>
    <t xml:space="preserve">outof</t>
  </si>
  <si>
    <t xml:space="preserve">smith</t>
  </si>
  <si>
    <t xml:space="preserve">ardent</t>
  </si>
  <si>
    <t xml:space="preserve">clan</t>
  </si>
  <si>
    <t xml:space="preserve">dread-cat</t>
  </si>
  <si>
    <t xml:space="preserve">drt</t>
  </si>
  <si>
    <t xml:space="preserve">evergreen</t>
  </si>
  <si>
    <t xml:space="preserve">fudo-hooks</t>
  </si>
  <si>
    <t xml:space="preserve">milo</t>
  </si>
  <si>
    <t xml:space="preserve">sabba-lures</t>
  </si>
  <si>
    <t xml:space="preserve">sportex</t>
  </si>
  <si>
    <t xml:space="preserve">sunny-bros</t>
  </si>
  <si>
    <t xml:space="preserve">tunala</t>
  </si>
  <si>
    <t xml:space="preserve">yamashita</t>
  </si>
  <si>
    <t xml:space="preserve">Delta calcolato sul MIGLIOR prezzo web di ogni prodotto rispetto alla fascia Clan Pesca da-a; valori del 24/09/2026 (fotografia). Righe di dettaglio e formule nel foglio Dettaglio.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</si>
</sst>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€ &quot;#,##0.00"/>
    <numFmt numFmtId="166" formatCode="\+0.0%;\-0.0%;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color rgb="FFC00000"/>
        <sz val="10"/>
      </font>
    </dxf>
    <dxf>
      <font>
        <name val="Arial"/>
        <charset val="1"/>
        <family val="0"/>
        <color rgb="FF0061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assstoreitaly.com/it/airrus-marmorea-spinning-" TargetMode="External"/><Relationship Id="rId2" Type="http://schemas.openxmlformats.org/officeDocument/2006/relationships/hyperlink" Target="https://clanpesca.com/prodotto/airrus-spinning-marmorea/" TargetMode="External"/><Relationship Id="rId3" Type="http://schemas.openxmlformats.org/officeDocument/2006/relationships/hyperlink" Target="https://bassstoreitaly.com/it/bkk-fishing-hooks-titan-diver-2" TargetMode="External"/><Relationship Id="rId4" Type="http://schemas.openxmlformats.org/officeDocument/2006/relationships/hyperlink" Target="https://clanpesca.com/prodotto/amo-bkk-titan-diver/" TargetMode="External"/><Relationship Id="rId5" Type="http://schemas.openxmlformats.org/officeDocument/2006/relationships/hyperlink" Target="https://pescapromo.it/t/ami-per-predatori/ami-bkk-titandiver-gold" TargetMode="External"/><Relationship Id="rId6" Type="http://schemas.openxmlformats.org/officeDocument/2006/relationships/hyperlink" Target="https://clanpesca.com/prodotto/amo-bkk-titan-diver/" TargetMode="External"/><Relationship Id="rId7" Type="http://schemas.openxmlformats.org/officeDocument/2006/relationships/hyperlink" Target="https://bassstoreitaly.com/it/bkk-fishing-hooks-titan-rider" TargetMode="External"/><Relationship Id="rId8" Type="http://schemas.openxmlformats.org/officeDocument/2006/relationships/hyperlink" Target="https://clanpesca.com/prodotto/amo-bkk-titan/" TargetMode="External"/><Relationship Id="rId9" Type="http://schemas.openxmlformats.org/officeDocument/2006/relationships/hyperlink" Target="https://pescapromo.it/t/ancorette/ancoretta-bkk-assist-spear-21-ss" TargetMode="External"/><Relationship Id="rId10" Type="http://schemas.openxmlformats.org/officeDocument/2006/relationships/hyperlink" Target="https://clanpesca.com/prodotto/bkk-assist-spear-21/" TargetMode="External"/><Relationship Id="rId11" Type="http://schemas.openxmlformats.org/officeDocument/2006/relationships/hyperlink" Target="https://pescapromo.it/t/terminali-con-stingers/bkk-assist-spear-softbait-stinger-7x7-wire-zander-uvo-7kg-0-36mm-2-pezzi" TargetMode="External"/><Relationship Id="rId12" Type="http://schemas.openxmlformats.org/officeDocument/2006/relationships/hyperlink" Target="https://clanpesca.com/prodotto/bkk-assist-spear-uvo/" TargetMode="External"/><Relationship Id="rId13" Type="http://schemas.openxmlformats.org/officeDocument/2006/relationships/hyperlink" Target="https://bassstoreitaly.com/it/bkk-fishing-hooks-basilisk" TargetMode="External"/><Relationship Id="rId14" Type="http://schemas.openxmlformats.org/officeDocument/2006/relationships/hyperlink" Target="https://clanpesca.com/prodotto/bkk-basilisk/" TargetMode="External"/><Relationship Id="rId15" Type="http://schemas.openxmlformats.org/officeDocument/2006/relationships/hyperlink" Target="https://pescapromo.it/t/ami-per-predatori/bkk-basilisk-offset-hook" TargetMode="External"/><Relationship Id="rId16" Type="http://schemas.openxmlformats.org/officeDocument/2006/relationships/hyperlink" Target="https://clanpesca.com/prodotto/bkk-basilisk/" TargetMode="External"/><Relationship Id="rId17" Type="http://schemas.openxmlformats.org/officeDocument/2006/relationships/hyperlink" Target="https://bassstoreitaly.com/it/bkk-fishing-hooks-chain-21-stinger-rig" TargetMode="External"/><Relationship Id="rId18" Type="http://schemas.openxmlformats.org/officeDocument/2006/relationships/hyperlink" Target="https://clanpesca.com/prodotto/bkk-chain-21-stinger/" TargetMode="External"/><Relationship Id="rId19" Type="http://schemas.openxmlformats.org/officeDocument/2006/relationships/hyperlink" Target="https://pescapromo.it/t/terminali-con-stingers/bkk-chain-21-stinger-rig" TargetMode="External"/><Relationship Id="rId20" Type="http://schemas.openxmlformats.org/officeDocument/2006/relationships/hyperlink" Target="https://clanpesca.com/prodotto/bkk-chain-21-stinger/" TargetMode="External"/><Relationship Id="rId21" Type="http://schemas.openxmlformats.org/officeDocument/2006/relationships/hyperlink" Target="https://pescapromo.it/t/teste-piombate/bkk-silent-chaser-punch-lrf-jighead-5pcs" TargetMode="External"/><Relationship Id="rId22" Type="http://schemas.openxmlformats.org/officeDocument/2006/relationships/hyperlink" Target="https://clanpesca.com/prodotto/bkk-chaser-punch-lrf/" TargetMode="External"/><Relationship Id="rId23" Type="http://schemas.openxmlformats.org/officeDocument/2006/relationships/hyperlink" Target="https://bassstoreitaly.com/it/bkk-fishing-hooks-complete-armor-point-ocd-kit" TargetMode="External"/><Relationship Id="rId24" Type="http://schemas.openxmlformats.org/officeDocument/2006/relationships/hyperlink" Target="https://clanpesca.com/prodotto/bkk-complete-armor-point/" TargetMode="External"/><Relationship Id="rId25" Type="http://schemas.openxmlformats.org/officeDocument/2006/relationships/hyperlink" Target="https://pescapromo.it/t/ami-per-predatori/sistema-di-stoccaggio-dei-materiali-bkk-complete-armor-point-ocd-kit" TargetMode="External"/><Relationship Id="rId26" Type="http://schemas.openxmlformats.org/officeDocument/2006/relationships/hyperlink" Target="https://clanpesca.com/prodotto/bkk-complete-armor-point/" TargetMode="External"/><Relationship Id="rId27" Type="http://schemas.openxmlformats.org/officeDocument/2006/relationships/hyperlink" Target="https://bassstoreitaly.com/it/bkk-fishing-hooks-dss-worm-uvo" TargetMode="External"/><Relationship Id="rId28" Type="http://schemas.openxmlformats.org/officeDocument/2006/relationships/hyperlink" Target="https://clanpesca.com/prodotto/bkk-dss-worm/" TargetMode="External"/><Relationship Id="rId29" Type="http://schemas.openxmlformats.org/officeDocument/2006/relationships/hyperlink" Target="https://pescapromo.it/t/ami-drop-shot/amo-dropshot-bkk-dss-worm-uv-4-6-pezzi" TargetMode="External"/><Relationship Id="rId30" Type="http://schemas.openxmlformats.org/officeDocument/2006/relationships/hyperlink" Target="https://clanpesca.com/prodotto/bkk-dss-worm/" TargetMode="External"/><Relationship Id="rId31" Type="http://schemas.openxmlformats.org/officeDocument/2006/relationships/hyperlink" Target="https://bassstoreitaly.com/it/bkk-fishing-hooks-dss-worm-uvo" TargetMode="External"/><Relationship Id="rId32" Type="http://schemas.openxmlformats.org/officeDocument/2006/relationships/hyperlink" Target="https://clanpesca.com/prodotto/bkk-dss-worm-uvo/" TargetMode="External"/><Relationship Id="rId33" Type="http://schemas.openxmlformats.org/officeDocument/2006/relationships/hyperlink" Target="https://bassstoreitaly.com/it/bkk-fishing-hooks-armor-point-dropshot-long-shank" TargetMode="External"/><Relationship Id="rId34" Type="http://schemas.openxmlformats.org/officeDocument/2006/relationships/hyperlink" Target="https://clanpesca.com/prodotto/bkk-dropshot-armor-point/" TargetMode="External"/><Relationship Id="rId35" Type="http://schemas.openxmlformats.org/officeDocument/2006/relationships/hyperlink" Target="https://bassstoreitaly.com/it/bkk-fishing-hooks-armor-point-dropshot-long-shank" TargetMode="External"/><Relationship Id="rId36" Type="http://schemas.openxmlformats.org/officeDocument/2006/relationships/hyperlink" Target="https://clanpesca.com/prodotto/bkk-dropshot-long-shank/" TargetMode="External"/><Relationship Id="rId37" Type="http://schemas.openxmlformats.org/officeDocument/2006/relationships/hyperlink" Target="https://bassstoreitaly.com/it/bkk-fishing-hooks-duolock-snap-swivel-51" TargetMode="External"/><Relationship Id="rId38" Type="http://schemas.openxmlformats.org/officeDocument/2006/relationships/hyperlink" Target="https://clanpesca.com/prodotto/bkk-duolock-snap-51-2/" TargetMode="External"/><Relationship Id="rId39" Type="http://schemas.openxmlformats.org/officeDocument/2006/relationships/hyperlink" Target="https://pescapromo.it/t/girelle-da-pesca/bkk-duolock-snap-51" TargetMode="External"/><Relationship Id="rId40" Type="http://schemas.openxmlformats.org/officeDocument/2006/relationships/hyperlink" Target="https://clanpesca.com/prodotto/bkk-duolock-snap-51-2/" TargetMode="External"/><Relationship Id="rId41" Type="http://schemas.openxmlformats.org/officeDocument/2006/relationships/hyperlink" Target="https://bassstoreitaly.com/it/bkk-fishing-hooks-iws-lead" TargetMode="External"/><Relationship Id="rId42" Type="http://schemas.openxmlformats.org/officeDocument/2006/relationships/hyperlink" Target="https://clanpesca.com/prodotto/bkk-iws-lead/" TargetMode="External"/><Relationship Id="rId43" Type="http://schemas.openxmlformats.org/officeDocument/2006/relationships/hyperlink" Target="https://bassstoreitaly.com/it/bkk-fishing-hooks-native-12-bl-ss" TargetMode="External"/><Relationship Id="rId44" Type="http://schemas.openxmlformats.org/officeDocument/2006/relationships/hyperlink" Target="https://clanpesca.com/prodotto/bkk-native-12-bl-ss/" TargetMode="External"/><Relationship Id="rId45" Type="http://schemas.openxmlformats.org/officeDocument/2006/relationships/hyperlink" Target="https://bassstoreitaly.com/it/bkk-fishing-hooks-native-12-bl-ss" TargetMode="External"/><Relationship Id="rId46" Type="http://schemas.openxmlformats.org/officeDocument/2006/relationships/hyperlink" Target="https://clanpesca.com/prodotto/bkk-native-12-ss/" TargetMode="External"/><Relationship Id="rId47" Type="http://schemas.openxmlformats.org/officeDocument/2006/relationships/hyperlink" Target="https://bassstoreitaly.com/it/bkk-fishing-hooks-ocd-accessory-box" TargetMode="External"/><Relationship Id="rId48" Type="http://schemas.openxmlformats.org/officeDocument/2006/relationships/hyperlink" Target="https://clanpesca.com/prodotto/bkk-ocd-accessory-box-s/" TargetMode="External"/><Relationship Id="rId49" Type="http://schemas.openxmlformats.org/officeDocument/2006/relationships/hyperlink" Target="https://pescapromo.it/t/scatole-da-pesca/bkk-ocd-tackle-system-a2-loaded-m-incl-20xm-8xs-cassette" TargetMode="External"/><Relationship Id="rId50" Type="http://schemas.openxmlformats.org/officeDocument/2006/relationships/hyperlink" Target="https://clanpesca.com/prodotto/bkk-tackle-system-a2/" TargetMode="External"/><Relationship Id="rId51" Type="http://schemas.openxmlformats.org/officeDocument/2006/relationships/hyperlink" Target="https://pescapromo.it/t/scatole-da-pesca/bkk-ocd-tackle-system-a2-loaded-m-incl-20xm-8xs-cassette" TargetMode="External"/><Relationship Id="rId52" Type="http://schemas.openxmlformats.org/officeDocument/2006/relationships/hyperlink" Target="https://clanpesca.com/prodotto/tackle-system-a2-loaded/" TargetMode="External"/><Relationship Id="rId53" Type="http://schemas.openxmlformats.org/officeDocument/2006/relationships/hyperlink" Target="https://bassstoreitaly.com/it/bkk-fishing-hooks-armor-point-tungsten-permalock-weighted" TargetMode="External"/><Relationship Id="rId54" Type="http://schemas.openxmlformats.org/officeDocument/2006/relationships/hyperlink" Target="https://clanpesca.com/prodotto/bkk-permalock-weighted/" TargetMode="External"/><Relationship Id="rId55" Type="http://schemas.openxmlformats.org/officeDocument/2006/relationships/hyperlink" Target="https://bassstoreitaly.com/it/bkk-fishing-hooks-reef-master-np" TargetMode="External"/><Relationship Id="rId56" Type="http://schemas.openxmlformats.org/officeDocument/2006/relationships/hyperlink" Target="https://clanpesca.com/prodotto/bkk-reefmaster-np/" TargetMode="External"/><Relationship Id="rId57" Type="http://schemas.openxmlformats.org/officeDocument/2006/relationships/hyperlink" Target="https://pescapromo.it/t/ami-per-pesca-in-mare/bkk-sf-reefmaster-np-amo-lungo-da-pesca-di-mare" TargetMode="External"/><Relationship Id="rId58" Type="http://schemas.openxmlformats.org/officeDocument/2006/relationships/hyperlink" Target="https://clanpesca.com/prodotto/bkk-reefmaster-np/" TargetMode="External"/><Relationship Id="rId59" Type="http://schemas.openxmlformats.org/officeDocument/2006/relationships/hyperlink" Target="https://pescapromo.it/t/teste-piombate/bkk-round-elite-classic-bait-keeper-jighead-5g-3-pezzi" TargetMode="External"/><Relationship Id="rId60" Type="http://schemas.openxmlformats.org/officeDocument/2006/relationships/hyperlink" Target="https://clanpesca.com/prodotto/bkk-round-elite-classic/" TargetMode="External"/><Relationship Id="rId61" Type="http://schemas.openxmlformats.org/officeDocument/2006/relationships/hyperlink" Target="https://pescapromo.it/t/teste-piombate/bkk-silent-chaser-1x-ewg-round-head-jighead-1" TargetMode="External"/><Relationship Id="rId62" Type="http://schemas.openxmlformats.org/officeDocument/2006/relationships/hyperlink" Target="https://clanpesca.com/prodotto/bkk-silent-chaser-ewg/" TargetMode="External"/><Relationship Id="rId63" Type="http://schemas.openxmlformats.org/officeDocument/2006/relationships/hyperlink" Target="https://bassstoreitaly.com/it/bkk-siren-worm-hook" TargetMode="External"/><Relationship Id="rId64" Type="http://schemas.openxmlformats.org/officeDocument/2006/relationships/hyperlink" Target="https://clanpesca.com/prodotto/bkk-siren/" TargetMode="External"/><Relationship Id="rId65" Type="http://schemas.openxmlformats.org/officeDocument/2006/relationships/hyperlink" Target="https://pescapromo.it/t/ami-per-predatori/ami-bkk-siren-worm-taglia-2-0-6-pezzi" TargetMode="External"/><Relationship Id="rId66" Type="http://schemas.openxmlformats.org/officeDocument/2006/relationships/hyperlink" Target="https://clanpesca.com/prodotto/bkk-siren/" TargetMode="External"/><Relationship Id="rId67" Type="http://schemas.openxmlformats.org/officeDocument/2006/relationships/hyperlink" Target="https://bassstoreitaly.com/it/bkk-siren-worm-hook" TargetMode="External"/><Relationship Id="rId68" Type="http://schemas.openxmlformats.org/officeDocument/2006/relationships/hyperlink" Target="https://clanpesca.com/prodotto/bkk-siren-2-0-2/" TargetMode="External"/><Relationship Id="rId69" Type="http://schemas.openxmlformats.org/officeDocument/2006/relationships/hyperlink" Target="https://pescapromo.it/t/ami-per-predatori/ami-bkk-siren-worm-taglia-2-0-6-pezzi" TargetMode="External"/><Relationship Id="rId70" Type="http://schemas.openxmlformats.org/officeDocument/2006/relationships/hyperlink" Target="https://clanpesca.com/prodotto/bkk-siren-2-0-2/" TargetMode="External"/><Relationship Id="rId71" Type="http://schemas.openxmlformats.org/officeDocument/2006/relationships/hyperlink" Target="https://bassstoreitaly.com/it/bkk-siren-worm-hook" TargetMode="External"/><Relationship Id="rId72" Type="http://schemas.openxmlformats.org/officeDocument/2006/relationships/hyperlink" Target="https://clanpesca.com/prodotto/bkk-siren-4-0/" TargetMode="External"/><Relationship Id="rId73" Type="http://schemas.openxmlformats.org/officeDocument/2006/relationships/hyperlink" Target="https://pescapromo.it/t/ami-per-predatori/ami-bkk-siren-worm-taglia-2-0-6-pezzi" TargetMode="External"/><Relationship Id="rId74" Type="http://schemas.openxmlformats.org/officeDocument/2006/relationships/hyperlink" Target="https://clanpesca.com/prodotto/bkk-siren-4-0/" TargetMode="External"/><Relationship Id="rId75" Type="http://schemas.openxmlformats.org/officeDocument/2006/relationships/hyperlink" Target="https://bassstoreitaly.com/it/bkk-siren-worm-hook" TargetMode="External"/><Relationship Id="rId76" Type="http://schemas.openxmlformats.org/officeDocument/2006/relationships/hyperlink" Target="https://clanpesca.com/prodotto/bkk-siren-5-0/" TargetMode="External"/><Relationship Id="rId77" Type="http://schemas.openxmlformats.org/officeDocument/2006/relationships/hyperlink" Target="https://pescapromo.it/t/ami-per-predatori/ami-bkk-siren-worm-taglia-2-0-6-pezzi" TargetMode="External"/><Relationship Id="rId78" Type="http://schemas.openxmlformats.org/officeDocument/2006/relationships/hyperlink" Target="https://clanpesca.com/prodotto/bkk-siren-5-0/" TargetMode="External"/><Relationship Id="rId79" Type="http://schemas.openxmlformats.org/officeDocument/2006/relationships/hyperlink" Target="https://bassstoreitaly.com/it/bkk-fishing-hooks-spear-21-ss" TargetMode="External"/><Relationship Id="rId80" Type="http://schemas.openxmlformats.org/officeDocument/2006/relationships/hyperlink" Target="https://clanpesca.com/prodotto/bkk-spear-21-ss/" TargetMode="External"/><Relationship Id="rId81" Type="http://schemas.openxmlformats.org/officeDocument/2006/relationships/hyperlink" Target="https://pescapromo.it/t/ancorette/ancoretta-bkk-assist-spear-21-ss" TargetMode="External"/><Relationship Id="rId82" Type="http://schemas.openxmlformats.org/officeDocument/2006/relationships/hyperlink" Target="https://clanpesca.com/prodotto/bkk-spear-21-ss/" TargetMode="External"/><Relationship Id="rId83" Type="http://schemas.openxmlformats.org/officeDocument/2006/relationships/hyperlink" Target="https://bassstoreitaly.com/it/bkk-fishing-hooks-spear-21-uvo" TargetMode="External"/><Relationship Id="rId84" Type="http://schemas.openxmlformats.org/officeDocument/2006/relationships/hyperlink" Target="https://clanpesca.com/prodotto/bkk-spear-21-uvo/" TargetMode="External"/><Relationship Id="rId85" Type="http://schemas.openxmlformats.org/officeDocument/2006/relationships/hyperlink" Target="https://pescapromo.it/t/ancorette/bkk-spear-21-uvo-treble-hooks" TargetMode="External"/><Relationship Id="rId86" Type="http://schemas.openxmlformats.org/officeDocument/2006/relationships/hyperlink" Target="https://clanpesca.com/prodotto/bkk-spear-21-uvo/" TargetMode="External"/><Relationship Id="rId87" Type="http://schemas.openxmlformats.org/officeDocument/2006/relationships/hyperlink" Target="https://bassstoreitaly.com/it/bkk-fishing-hooks-split-ring-41" TargetMode="External"/><Relationship Id="rId88" Type="http://schemas.openxmlformats.org/officeDocument/2006/relationships/hyperlink" Target="https://clanpesca.com/prodotto/bkk-split-ring-41/" TargetMode="External"/><Relationship Id="rId89" Type="http://schemas.openxmlformats.org/officeDocument/2006/relationships/hyperlink" Target="https://www.megafish.it/split-ring-solid-ring-pesca/1832-bkk-split-ring.html" TargetMode="External"/><Relationship Id="rId90" Type="http://schemas.openxmlformats.org/officeDocument/2006/relationships/hyperlink" Target="https://clanpesca.com/prodotto/bkk-split-ring-41/" TargetMode="External"/><Relationship Id="rId91" Type="http://schemas.openxmlformats.org/officeDocument/2006/relationships/hyperlink" Target="https://pescapromo.it/t/girelle-da-pesca/bkk-split-ring-51" TargetMode="External"/><Relationship Id="rId92" Type="http://schemas.openxmlformats.org/officeDocument/2006/relationships/hyperlink" Target="https://clanpesca.com/prodotto/bkk-split-ring-41/" TargetMode="External"/><Relationship Id="rId93" Type="http://schemas.openxmlformats.org/officeDocument/2006/relationships/hyperlink" Target="https://bassstoreitaly.com/it/bkk-fishing-hooks-split-ring-51" TargetMode="External"/><Relationship Id="rId94" Type="http://schemas.openxmlformats.org/officeDocument/2006/relationships/hyperlink" Target="https://clanpesca.com/prodotto/bkk-split-ring-51/" TargetMode="External"/><Relationship Id="rId95" Type="http://schemas.openxmlformats.org/officeDocument/2006/relationships/hyperlink" Target="https://www.megafish.it/split-ring-solid-ring-pesca/1832-bkk-split-ring.html" TargetMode="External"/><Relationship Id="rId96" Type="http://schemas.openxmlformats.org/officeDocument/2006/relationships/hyperlink" Target="https://clanpesca.com/prodotto/bkk-split-ring-51/" TargetMode="External"/><Relationship Id="rId97" Type="http://schemas.openxmlformats.org/officeDocument/2006/relationships/hyperlink" Target="https://pescapromo.it/t/girelle-da-pesca/bkk-split-ring-51" TargetMode="External"/><Relationship Id="rId98" Type="http://schemas.openxmlformats.org/officeDocument/2006/relationships/hyperlink" Target="https://clanpesca.com/prodotto/bkk-split-ring-51/" TargetMode="External"/><Relationship Id="rId99" Type="http://schemas.openxmlformats.org/officeDocument/2006/relationships/hyperlink" Target="https://bassstoreitaly.com/it/bkk-fishing-hooks-spoon-22-ss" TargetMode="External"/><Relationship Id="rId100" Type="http://schemas.openxmlformats.org/officeDocument/2006/relationships/hyperlink" Target="https://clanpesca.com/prodotto/bkk-spoon-10-ss/" TargetMode="External"/><Relationship Id="rId101" Type="http://schemas.openxmlformats.org/officeDocument/2006/relationships/hyperlink" Target="https://bassstoreitaly.com/it/bkk-fishing-hooks-titan-diver-2" TargetMode="External"/><Relationship Id="rId102" Type="http://schemas.openxmlformats.org/officeDocument/2006/relationships/hyperlink" Target="https://clanpesca.com/prodotto/bkk-titan-diver/" TargetMode="External"/><Relationship Id="rId103" Type="http://schemas.openxmlformats.org/officeDocument/2006/relationships/hyperlink" Target="https://pescapromo.it/t/ami-per-predatori/ami-bkk-titandiver-gold" TargetMode="External"/><Relationship Id="rId104" Type="http://schemas.openxmlformats.org/officeDocument/2006/relationships/hyperlink" Target="https://clanpesca.com/prodotto/bkk-titan-diver/" TargetMode="External"/><Relationship Id="rId105" Type="http://schemas.openxmlformats.org/officeDocument/2006/relationships/hyperlink" Target="https://bassstoreitaly.com/it/bkk-fishing-hooks-trailer-hook" TargetMode="External"/><Relationship Id="rId106" Type="http://schemas.openxmlformats.org/officeDocument/2006/relationships/hyperlink" Target="https://clanpesca.com/prodotto/bkk-trailer-hook/" TargetMode="External"/><Relationship Id="rId107" Type="http://schemas.openxmlformats.org/officeDocument/2006/relationships/hyperlink" Target="https://pescapromo.it/t/ami-per-predatori/bkk-trailer-hook-5pcs" TargetMode="External"/><Relationship Id="rId108" Type="http://schemas.openxmlformats.org/officeDocument/2006/relationships/hyperlink" Target="https://clanpesca.com/prodotto/bkk-trailer-hook/" TargetMode="External"/><Relationship Id="rId109" Type="http://schemas.openxmlformats.org/officeDocument/2006/relationships/hyperlink" Target="https://bassstoreitaly.com/it/bkk-fishing-hooks-bb-trigger-21" TargetMode="External"/><Relationship Id="rId110" Type="http://schemas.openxmlformats.org/officeDocument/2006/relationships/hyperlink" Target="https://clanpesca.com/prodotto/bkk-trigger-21/" TargetMode="External"/><Relationship Id="rId111" Type="http://schemas.openxmlformats.org/officeDocument/2006/relationships/hyperlink" Target="https://pescapromo.it/t/terminali-con-stingers/bkk-bb-trigger-21-stinger-rig" TargetMode="External"/><Relationship Id="rId112" Type="http://schemas.openxmlformats.org/officeDocument/2006/relationships/hyperlink" Target="https://clanpesca.com/prodotto/bkk-trigger-21/" TargetMode="External"/><Relationship Id="rId113" Type="http://schemas.openxmlformats.org/officeDocument/2006/relationships/hyperlink" Target="https://pescapromo.it/t/terminali-con-stingers/bkk-bb-trigger-21-stinger-rig-uvo" TargetMode="External"/><Relationship Id="rId114" Type="http://schemas.openxmlformats.org/officeDocument/2006/relationships/hyperlink" Target="https://clanpesca.com/prodotto/bkk-trigger-21-uvo/" TargetMode="External"/><Relationship Id="rId115" Type="http://schemas.openxmlformats.org/officeDocument/2006/relationships/hyperlink" Target="https://bassstoreitaly.com/it/bkk-fishing-hooks-bb-trigger-lead" TargetMode="External"/><Relationship Id="rId116" Type="http://schemas.openxmlformats.org/officeDocument/2006/relationships/hyperlink" Target="https://clanpesca.com/prodotto/bkk-trigger-lead/" TargetMode="External"/><Relationship Id="rId117" Type="http://schemas.openxmlformats.org/officeDocument/2006/relationships/hyperlink" Target="https://pescapromo.it/t/ancorette/ancorette-bkk-viper-61" TargetMode="External"/><Relationship Id="rId118" Type="http://schemas.openxmlformats.org/officeDocument/2006/relationships/hyperlink" Target="https://clanpesca.com/prodotto/bkk-viper-41/" TargetMode="External"/><Relationship Id="rId119" Type="http://schemas.openxmlformats.org/officeDocument/2006/relationships/hyperlink" Target="https://pescapromo.it/t/shads/blackbay-blackbug-beetle-junior-bucktail-jig-17cm-35g" TargetMode="External"/><Relationship Id="rId120" Type="http://schemas.openxmlformats.org/officeDocument/2006/relationships/hyperlink" Target="https://clanpesca.com/prodotto/blackbay-blackbug-beetle/" TargetMode="External"/><Relationship Id="rId121" Type="http://schemas.openxmlformats.org/officeDocument/2006/relationships/hyperlink" Target="https://pescapromo.it/t/shads/blackbay-blackbug-beetle-junior-bucktail-jig-17cm-35g" TargetMode="External"/><Relationship Id="rId122" Type="http://schemas.openxmlformats.org/officeDocument/2006/relationships/hyperlink" Target="https://clanpesca.com/prodotto/blackbay-blackbug-beetle-junior/" TargetMode="External"/><Relationship Id="rId123" Type="http://schemas.openxmlformats.org/officeDocument/2006/relationships/hyperlink" Target="https://bassstoreitaly.com/it/carson-catspin-ii-spinning" TargetMode="External"/><Relationship Id="rId124" Type="http://schemas.openxmlformats.org/officeDocument/2006/relationships/hyperlink" Target="https://clanpesca.com/prodotto/carson-canna-catspin-ii/" TargetMode="External"/><Relationship Id="rId125" Type="http://schemas.openxmlformats.org/officeDocument/2006/relationships/hyperlink" Target="https://bassstoreitaly.com/it/carson-dark-matter-pjdm-860-spinning-rods" TargetMode="External"/><Relationship Id="rId126" Type="http://schemas.openxmlformats.org/officeDocument/2006/relationships/hyperlink" Target="https://clanpesca.com/prodotto/carson-canna-dark-matter-pjdm-860/" TargetMode="External"/><Relationship Id="rId127" Type="http://schemas.openxmlformats.org/officeDocument/2006/relationships/hyperlink" Target="https://bassstoreitaly.com/it/carson-cat-stige-power-leader" TargetMode="External"/><Relationship Id="rId128" Type="http://schemas.openxmlformats.org/officeDocument/2006/relationships/hyperlink" Target="https://clanpesca.com/prodotto/carson-cat-stige-power-nylon-leader-mt-50-lb-165/" TargetMode="External"/><Relationship Id="rId129" Type="http://schemas.openxmlformats.org/officeDocument/2006/relationships/hyperlink" Target="https://bassstoreitaly.com/it/carson-dark-matter-pjdm-970-spinning-rods" TargetMode="External"/><Relationship Id="rId130" Type="http://schemas.openxmlformats.org/officeDocument/2006/relationships/hyperlink" Target="https://clanpesca.com/prodotto/carson-dark-matter-pjdm-970/" TargetMode="External"/><Relationship Id="rId131" Type="http://schemas.openxmlformats.org/officeDocument/2006/relationships/hyperlink" Target="https://www.bestpesca.com/colmic/gm101214-girelle-side-line-rolling-mis.-14.html" TargetMode="External"/><Relationship Id="rId132" Type="http://schemas.openxmlformats.org/officeDocument/2006/relationships/hyperlink" Target="https://clanpesca.com/prodotto/colmic-girelle-side-line-rolling/" TargetMode="External"/><Relationship Id="rId133" Type="http://schemas.openxmlformats.org/officeDocument/2006/relationships/hyperlink" Target="https://escaepescashop.it/prodotto/decoy-worm19-ss-hook/" TargetMode="External"/><Relationship Id="rId134" Type="http://schemas.openxmlformats.org/officeDocument/2006/relationships/hyperlink" Target="https://clanpesca.com/prodotto/ami-decoy-worm-22/" TargetMode="External"/><Relationship Id="rId135" Type="http://schemas.openxmlformats.org/officeDocument/2006/relationships/hyperlink" Target="https://www.megafish.it/ami-off-set/2721-decoy-worm-102-s-switcher.html" TargetMode="External"/><Relationship Id="rId136" Type="http://schemas.openxmlformats.org/officeDocument/2006/relationships/hyperlink" Target="https://clanpesca.com/prodotto/ami-decoy-worm-22/" TargetMode="External"/><Relationship Id="rId137" Type="http://schemas.openxmlformats.org/officeDocument/2006/relationships/hyperlink" Target="https://www.megafish.it/ami-big-game/2663-decoy-js-1-jigging-single-sergeant-n.html" TargetMode="External"/><Relationship Id="rId138" Type="http://schemas.openxmlformats.org/officeDocument/2006/relationships/hyperlink" Target="https://clanpesca.com/prodotto/decoy-js-1-jigging-single-sergeantn/" TargetMode="External"/><Relationship Id="rId139" Type="http://schemas.openxmlformats.org/officeDocument/2006/relationships/hyperlink" Target="https://escaepescashop.it/prodotto/decoy-worm19-ss-hook/" TargetMode="External"/><Relationship Id="rId140" Type="http://schemas.openxmlformats.org/officeDocument/2006/relationships/hyperlink" Target="https://clanpesca.com/prodotto/decoy-worm-117/" TargetMode="External"/><Relationship Id="rId141" Type="http://schemas.openxmlformats.org/officeDocument/2006/relationships/hyperlink" Target="https://www.megafish.it/ami-off-set/2721-decoy-worm-102-s-switcher.html" TargetMode="External"/><Relationship Id="rId142" Type="http://schemas.openxmlformats.org/officeDocument/2006/relationships/hyperlink" Target="https://clanpesca.com/prodotto/decoy-worm-117/" TargetMode="External"/><Relationship Id="rId143" Type="http://schemas.openxmlformats.org/officeDocument/2006/relationships/hyperlink" Target="https://bassstoreitaly.com/it/ecogear-grass-minnow" TargetMode="External"/><Relationship Id="rId144" Type="http://schemas.openxmlformats.org/officeDocument/2006/relationships/hyperlink" Target="https://clanpesca.com/prodotto/ecogear-grass-minnow-m/" TargetMode="External"/><Relationship Id="rId145" Type="http://schemas.openxmlformats.org/officeDocument/2006/relationships/hyperlink" Target="https://bassstoreitaly.com/it/ecogear-grass-minnow" TargetMode="External"/><Relationship Id="rId146" Type="http://schemas.openxmlformats.org/officeDocument/2006/relationships/hyperlink" Target="https://clanpesca.com/prodotto/ecogear-grass-minnow-s/" TargetMode="External"/><Relationship Id="rId147" Type="http://schemas.openxmlformats.org/officeDocument/2006/relationships/hyperlink" Target="https://bassstoreitaly.com/it/elitelure-v5-shadow-leopard" TargetMode="External"/><Relationship Id="rId148" Type="http://schemas.openxmlformats.org/officeDocument/2006/relationships/hyperlink" Target="https://clanpesca.com/prodotto/elite-lure-shadow-leopard-v5/" TargetMode="External"/><Relationship Id="rId149" Type="http://schemas.openxmlformats.org/officeDocument/2006/relationships/hyperlink" Target="https://bassstoreitaly.com/it/favorite-alligator-casting" TargetMode="External"/><Relationship Id="rId150" Type="http://schemas.openxmlformats.org/officeDocument/2006/relationships/hyperlink" Target="https://clanpesca.com/prodotto/favorite-alligator-casting/" TargetMode="External"/><Relationship Id="rId151" Type="http://schemas.openxmlformats.org/officeDocument/2006/relationships/hyperlink" Target="https://bassstoreitaly.com/it/favorite-alligator-travel-casting" TargetMode="External"/><Relationship Id="rId152" Type="http://schemas.openxmlformats.org/officeDocument/2006/relationships/hyperlink" Target="https://clanpesca.com/prodotto/favorite-alligator-travel/" TargetMode="External"/><Relationship Id="rId153" Type="http://schemas.openxmlformats.org/officeDocument/2006/relationships/hyperlink" Target="https://bassstoreitaly.com/it/favorite-creed-sw-spinning" TargetMode="External"/><Relationship Id="rId154" Type="http://schemas.openxmlformats.org/officeDocument/2006/relationships/hyperlink" Target="https://clanpesca.com/prodotto/favorite-creed/" TargetMode="External"/><Relationship Id="rId155" Type="http://schemas.openxmlformats.org/officeDocument/2006/relationships/hyperlink" Target="https://bassstoreitaly.com/it/favorite-x1-casting" TargetMode="External"/><Relationship Id="rId156" Type="http://schemas.openxmlformats.org/officeDocument/2006/relationships/hyperlink" Target="https://clanpesca.com/prodotto/favorite-mulinello-x1/" TargetMode="External"/><Relationship Id="rId157" Type="http://schemas.openxmlformats.org/officeDocument/2006/relationships/hyperlink" Target="https://bassstoreitaly.com/it/favorite-white-bird-spinning" TargetMode="External"/><Relationship Id="rId158" Type="http://schemas.openxmlformats.org/officeDocument/2006/relationships/hyperlink" Target="https://clanpesca.com/prodotto/favorite-white-bird/" TargetMode="External"/><Relationship Id="rId159" Type="http://schemas.openxmlformats.org/officeDocument/2006/relationships/hyperlink" Target="https://bassstoreitaly.com/it/favorite-x1-pro-spinning" TargetMode="External"/><Relationship Id="rId160" Type="http://schemas.openxmlformats.org/officeDocument/2006/relationships/hyperlink" Target="https://clanpesca.com/prodotto/favorite-x1-pro/" TargetMode="External"/><Relationship Id="rId161" Type="http://schemas.openxmlformats.org/officeDocument/2006/relationships/hyperlink" Target="https://bassstoreitaly.com/it/fiiish-blaster-shad" TargetMode="External"/><Relationship Id="rId162" Type="http://schemas.openxmlformats.org/officeDocument/2006/relationships/hyperlink" Target="https://clanpesca.com/prodotto/fiiish-blaster-shad-160/" TargetMode="External"/><Relationship Id="rId163" Type="http://schemas.openxmlformats.org/officeDocument/2006/relationships/hyperlink" Target="https://www.megafish.it/soft-baits-artificiali-spinning/5765-fiiish-blaster-shad-130-n1.html" TargetMode="External"/><Relationship Id="rId164" Type="http://schemas.openxmlformats.org/officeDocument/2006/relationships/hyperlink" Target="https://clanpesca.com/prodotto/fiiish-blaster-shad-160/" TargetMode="External"/><Relationship Id="rId165" Type="http://schemas.openxmlformats.org/officeDocument/2006/relationships/hyperlink" Target="https://bassstoreitaly.com/it/fiiish-blaster-shad" TargetMode="External"/><Relationship Id="rId166" Type="http://schemas.openxmlformats.org/officeDocument/2006/relationships/hyperlink" Target="https://clanpesca.com/prodotto/fiiish-blaster-shad-gr-80/" TargetMode="External"/><Relationship Id="rId167" Type="http://schemas.openxmlformats.org/officeDocument/2006/relationships/hyperlink" Target="https://www.megafish.it/soft-baits-artificiali-spinning/5765-fiiish-blaster-shad-130-n1.html" TargetMode="External"/><Relationship Id="rId168" Type="http://schemas.openxmlformats.org/officeDocument/2006/relationships/hyperlink" Target="https://clanpesca.com/prodotto/fiiish-blaster-shad-gr-80/" TargetMode="External"/><Relationship Id="rId169" Type="http://schemas.openxmlformats.org/officeDocument/2006/relationships/hyperlink" Target="https://bassstoreitaly.com/it/fiiish-leurres-black-minnow-double-combo-pug" TargetMode="External"/><Relationship Id="rId170" Type="http://schemas.openxmlformats.org/officeDocument/2006/relationships/hyperlink" Target="https://clanpesca.com/prodotto/fiiish-double-combo-pug-16-gr/" TargetMode="External"/><Relationship Id="rId171" Type="http://schemas.openxmlformats.org/officeDocument/2006/relationships/hyperlink" Target="https://bassstoreitaly.com/it/fiiish-leurres-black-minnow-double-combo-pug" TargetMode="External"/><Relationship Id="rId172" Type="http://schemas.openxmlformats.org/officeDocument/2006/relationships/hyperlink" Target="https://clanpesca.com/prodotto/fiiish-double-combo-pug-7-gr/" TargetMode="External"/><Relationship Id="rId173" Type="http://schemas.openxmlformats.org/officeDocument/2006/relationships/hyperlink" Target="https://bassstoreitaly.com/it/fiiish-leurres-pit-swimmer-bodies" TargetMode="External"/><Relationship Id="rId174" Type="http://schemas.openxmlformats.org/officeDocument/2006/relationships/hyperlink" Target="https://clanpesca.com/prodotto/fiiish-pit-swimmer-bodies-cm-10-gr-7-5/" TargetMode="External"/><Relationship Id="rId175" Type="http://schemas.openxmlformats.org/officeDocument/2006/relationships/hyperlink" Target="https://bassstoreitaly.com/it/fiiish-leurres-pit-swimmer-bodies" TargetMode="External"/><Relationship Id="rId176" Type="http://schemas.openxmlformats.org/officeDocument/2006/relationships/hyperlink" Target="https://clanpesca.com/prodotto/fiiish-pit-swimmer-bodies-cm-12-5-gr-15/" TargetMode="External"/><Relationship Id="rId177" Type="http://schemas.openxmlformats.org/officeDocument/2006/relationships/hyperlink" Target="https://bassstoreitaly.com/it/fiiish-leurres-pit-swimmer-bodies" TargetMode="External"/><Relationship Id="rId178" Type="http://schemas.openxmlformats.org/officeDocument/2006/relationships/hyperlink" Target="https://clanpesca.com/prodotto/fiiish-pit-swimmer-bodies-cm-15-gr-25/" TargetMode="External"/><Relationship Id="rId179" Type="http://schemas.openxmlformats.org/officeDocument/2006/relationships/hyperlink" Target="https://pescapromo.it/t/jerkbaits/fladen-predator-jerk-25gr" TargetMode="External"/><Relationship Id="rId180" Type="http://schemas.openxmlformats.org/officeDocument/2006/relationships/hyperlink" Target="https://clanpesca.com/prodotto/fladen-predator-jerk-cm-12-gr-50/" TargetMode="External"/><Relationship Id="rId181" Type="http://schemas.openxmlformats.org/officeDocument/2006/relationships/hyperlink" Target="https://pescapromo.it/t/giacche-da-pesca/fladen-authentic-wading-jacket" TargetMode="External"/><Relationship Id="rId182" Type="http://schemas.openxmlformats.org/officeDocument/2006/relationships/hyperlink" Target="https://clanpesca.com/prodotto/fladen-wading-jacket/" TargetMode="External"/><Relationship Id="rId183" Type="http://schemas.openxmlformats.org/officeDocument/2006/relationships/hyperlink" Target="https://pescapromo.it/t/giacche-da-pesca/giacca-da-pesca-fladen-jacket-authentic-5-0-olive" TargetMode="External"/><Relationship Id="rId184" Type="http://schemas.openxmlformats.org/officeDocument/2006/relationships/hyperlink" Target="https://clanpesca.com/prodotto/giacca-fladen-authentic-olive/" TargetMode="External"/><Relationship Id="rId185" Type="http://schemas.openxmlformats.org/officeDocument/2006/relationships/hyperlink" Target="https://bassstoreitaly.com/it/flash-union-full-metal-sonic" TargetMode="External"/><Relationship Id="rId186" Type="http://schemas.openxmlformats.org/officeDocument/2006/relationships/hyperlink" Target="https://clanpesca.com/prodotto/flash-union-full-metal-sonic-gr-2-5/" TargetMode="External"/><Relationship Id="rId187" Type="http://schemas.openxmlformats.org/officeDocument/2006/relationships/hyperlink" Target="https://bassstoreitaly.com/it/flash-union-full-metal-sonic" TargetMode="External"/><Relationship Id="rId188" Type="http://schemas.openxmlformats.org/officeDocument/2006/relationships/hyperlink" Target="https://clanpesca.com/prodotto/flash-union-full-metal-sonic-gr-3-5/" TargetMode="External"/><Relationship Id="rId189" Type="http://schemas.openxmlformats.org/officeDocument/2006/relationships/hyperlink" Target="https://bassstoreitaly.com/it/fox-rage-super-natural-replicant-carp" TargetMode="External"/><Relationship Id="rId190" Type="http://schemas.openxmlformats.org/officeDocument/2006/relationships/hyperlink" Target="https://clanpesca.com/prodotto/fox-rage-replicant-super-natural-carp-cm-18-gr-104/" TargetMode="External"/><Relationship Id="rId191" Type="http://schemas.openxmlformats.org/officeDocument/2006/relationships/hyperlink" Target="https://bassstoreitaly.com/it/fox-rage-wobble-replicant-micro" TargetMode="External"/><Relationship Id="rId192" Type="http://schemas.openxmlformats.org/officeDocument/2006/relationships/hyperlink" Target="https://clanpesca.com/prodotto/fox-rage-replicant-wobble-cm-18-gr-90/" TargetMode="External"/><Relationship Id="rId193" Type="http://schemas.openxmlformats.org/officeDocument/2006/relationships/hyperlink" Target="https://pescapromo.it/t/swimbaits/fox-rage-replicant-wobble-7-5cm" TargetMode="External"/><Relationship Id="rId194" Type="http://schemas.openxmlformats.org/officeDocument/2006/relationships/hyperlink" Target="https://clanpesca.com/prodotto/fox-rage-replicant-wobble-cm-18-gr-90/" TargetMode="External"/><Relationship Id="rId195" Type="http://schemas.openxmlformats.org/officeDocument/2006/relationships/hyperlink" Target="https://bassstoreitaly.com/it/fox-rage-super-slick-shad" TargetMode="External"/><Relationship Id="rId196" Type="http://schemas.openxmlformats.org/officeDocument/2006/relationships/hyperlink" Target="https://clanpesca.com/prodotto/fox-rage-super-slick-shad-cm-28-gr-170/" TargetMode="External"/><Relationship Id="rId197" Type="http://schemas.openxmlformats.org/officeDocument/2006/relationships/hyperlink" Target="https://pescapromo.it/t/shads/fox-rage-super-slick-pro-shad-piombato-18cm-49g" TargetMode="External"/><Relationship Id="rId198" Type="http://schemas.openxmlformats.org/officeDocument/2006/relationships/hyperlink" Target="https://clanpesca.com/prodotto/fox-rage-super-slick-shad-cm-28-gr-170/" TargetMode="External"/><Relationship Id="rId199" Type="http://schemas.openxmlformats.org/officeDocument/2006/relationships/hyperlink" Target="https://bassstoreitaly.com/it/game-by-laboratorio-aguglia-turbo-needle" TargetMode="External"/><Relationship Id="rId200" Type="http://schemas.openxmlformats.org/officeDocument/2006/relationships/hyperlink" Target="https://clanpesca.com/prodotto/game-aguglia-turbo/" TargetMode="External"/><Relationship Id="rId201" Type="http://schemas.openxmlformats.org/officeDocument/2006/relationships/hyperlink" Target="https://bassstoreitaly.com/it/game-by-laboratorio-pend-eel" TargetMode="External"/><Relationship Id="rId202" Type="http://schemas.openxmlformats.org/officeDocument/2006/relationships/hyperlink" Target="https://clanpesca.com/prodotto/pend-eel-by-game/" TargetMode="External"/><Relationship Id="rId203" Type="http://schemas.openxmlformats.org/officeDocument/2006/relationships/hyperlink" Target="https://bassstoreitaly.com/it/game-by-laboratorio-pend-minnow" TargetMode="External"/><Relationship Id="rId204" Type="http://schemas.openxmlformats.org/officeDocument/2006/relationships/hyperlink" Target="https://clanpesca.com/prodotto/pend-minnow-by-game-3-75/" TargetMode="External"/><Relationship Id="rId205" Type="http://schemas.openxmlformats.org/officeDocument/2006/relationships/hyperlink" Target="https://bassstoreitaly.com/it/game-by-laboratorio-pend-paddle" TargetMode="External"/><Relationship Id="rId206" Type="http://schemas.openxmlformats.org/officeDocument/2006/relationships/hyperlink" Target="https://clanpesca.com/prodotto/pend-paddle-by-game/" TargetMode="External"/><Relationship Id="rId207" Type="http://schemas.openxmlformats.org/officeDocument/2006/relationships/hyperlink" Target="https://bassstoreitaly.com/it/game-by-laboratorio-pend-paddle" TargetMode="External"/><Relationship Id="rId208" Type="http://schemas.openxmlformats.org/officeDocument/2006/relationships/hyperlink" Target="https://clanpesca.com/prodotto/pend-paddle-by-game-4-5/" TargetMode="External"/><Relationship Id="rId209" Type="http://schemas.openxmlformats.org/officeDocument/2006/relationships/hyperlink" Target="https://bassstoreitaly.com/it/gary-yamamoto-kut-tail" TargetMode="External"/><Relationship Id="rId210" Type="http://schemas.openxmlformats.org/officeDocument/2006/relationships/hyperlink" Target="https://clanpesca.com/prodotto/gary-yamamoto-kut-tail-5/" TargetMode="External"/><Relationship Id="rId211" Type="http://schemas.openxmlformats.org/officeDocument/2006/relationships/hyperlink" Target="https://www.webpesca.it/shop/artificiale-worm-gary-yamamoto-kut-tail-5-baby-bass/" TargetMode="External"/><Relationship Id="rId212" Type="http://schemas.openxmlformats.org/officeDocument/2006/relationships/hyperlink" Target="https://clanpesca.com/prodotto/gary-yamamoto-kut-tail-5/" TargetMode="External"/><Relationship Id="rId213" Type="http://schemas.openxmlformats.org/officeDocument/2006/relationships/hyperlink" Target="https://bassstoreitaly.com/it/gary-yamamoto-swim-senko" TargetMode="External"/><Relationship Id="rId214" Type="http://schemas.openxmlformats.org/officeDocument/2006/relationships/hyperlink" Target="https://clanpesca.com/prodotto/gary-yamamoto-senko-4/" TargetMode="External"/><Relationship Id="rId215" Type="http://schemas.openxmlformats.org/officeDocument/2006/relationships/hyperlink" Target="https://www.webpesca.it/shop/artificiale-stickbait-gary-yamamoto-senko-4-baby-bass/" TargetMode="External"/><Relationship Id="rId216" Type="http://schemas.openxmlformats.org/officeDocument/2006/relationships/hyperlink" Target="https://clanpesca.com/prodotto/gary-yamamoto-senko-4/" TargetMode="External"/><Relationship Id="rId217" Type="http://schemas.openxmlformats.org/officeDocument/2006/relationships/hyperlink" Target="https://bassstoreitaly.com/it/gary-yamamoto-swim-senko" TargetMode="External"/><Relationship Id="rId218" Type="http://schemas.openxmlformats.org/officeDocument/2006/relationships/hyperlink" Target="https://clanpesca.com/prodotto/gary-yamamoto-swim-senko-4/" TargetMode="External"/><Relationship Id="rId219" Type="http://schemas.openxmlformats.org/officeDocument/2006/relationships/hyperlink" Target="https://pescapromo.it/t/shads/gator-catfish-11cm-shad" TargetMode="External"/><Relationship Id="rId220" Type="http://schemas.openxmlformats.org/officeDocument/2006/relationships/hyperlink" Target="https://clanpesca.com/prodotto/gator-catfish-11-cm/" TargetMode="External"/><Relationship Id="rId221" Type="http://schemas.openxmlformats.org/officeDocument/2006/relationships/hyperlink" Target="https://pescapromo.it/t/shads/gator-catfish-11cm-shad" TargetMode="External"/><Relationship Id="rId222" Type="http://schemas.openxmlformats.org/officeDocument/2006/relationships/hyperlink" Target="https://clanpesca.com/prodotto/gator-catfish-25-cm/" TargetMode="External"/><Relationship Id="rId223" Type="http://schemas.openxmlformats.org/officeDocument/2006/relationships/hyperlink" Target="https://pescapromo.it/t/shads/gator-catfish-25cm-shad" TargetMode="External"/><Relationship Id="rId224" Type="http://schemas.openxmlformats.org/officeDocument/2006/relationships/hyperlink" Target="https://clanpesca.com/prodotto/gator-catfish-35-cm/" TargetMode="External"/><Relationship Id="rId225" Type="http://schemas.openxmlformats.org/officeDocument/2006/relationships/hyperlink" Target="https://pescapromo.it/t/shads/gator-gum-shad-18cm-45g" TargetMode="External"/><Relationship Id="rId226" Type="http://schemas.openxmlformats.org/officeDocument/2006/relationships/hyperlink" Target="https://clanpesca.com/prodotto/gator-gum-12-cm/" TargetMode="External"/><Relationship Id="rId227" Type="http://schemas.openxmlformats.org/officeDocument/2006/relationships/hyperlink" Target="https://pescapromo.it/t/shads/gator-gum-shad-18cm-45g" TargetMode="External"/><Relationship Id="rId228" Type="http://schemas.openxmlformats.org/officeDocument/2006/relationships/hyperlink" Target="https://clanpesca.com/prodotto/gator-gum-18-cm/" TargetMode="External"/><Relationship Id="rId229" Type="http://schemas.openxmlformats.org/officeDocument/2006/relationships/hyperlink" Target="https://pescapromo.it/t/shads/gator-gum-shad-18cm-45g" TargetMode="External"/><Relationship Id="rId230" Type="http://schemas.openxmlformats.org/officeDocument/2006/relationships/hyperlink" Target="https://clanpesca.com/prodotto/gator-gum-27-cm/" TargetMode="External"/><Relationship Id="rId231" Type="http://schemas.openxmlformats.org/officeDocument/2006/relationships/hyperlink" Target="https://pescapromo.it/t/shads/gator-gum-shad-18cm-45g" TargetMode="External"/><Relationship Id="rId232" Type="http://schemas.openxmlformats.org/officeDocument/2006/relationships/hyperlink" Target="https://clanpesca.com/prodotto/gator-gum-9-cm/" TargetMode="External"/><Relationship Id="rId233" Type="http://schemas.openxmlformats.org/officeDocument/2006/relationships/hyperlink" Target="https://pescapromo.it/t/shads/gator-superslow-shad-20cm-75g" TargetMode="External"/><Relationship Id="rId234" Type="http://schemas.openxmlformats.org/officeDocument/2006/relationships/hyperlink" Target="https://clanpesca.com/prodotto/gator-superslow-15-cm/" TargetMode="External"/><Relationship Id="rId235" Type="http://schemas.openxmlformats.org/officeDocument/2006/relationships/hyperlink" Target="https://pescapromo.it/t/shads/gator-superslow-shad-20cm-75g" TargetMode="External"/><Relationship Id="rId236" Type="http://schemas.openxmlformats.org/officeDocument/2006/relationships/hyperlink" Target="https://clanpesca.com/prodotto/gator-superslow-20-cm/" TargetMode="External"/><Relationship Id="rId237" Type="http://schemas.openxmlformats.org/officeDocument/2006/relationships/hyperlink" Target="https://pescapromo.it/t/shads/gator-superslow-shad-20cm-75g" TargetMode="External"/><Relationship Id="rId238" Type="http://schemas.openxmlformats.org/officeDocument/2006/relationships/hyperlink" Target="https://clanpesca.com/prodotto/gator-superslow-25-cm/" TargetMode="External"/><Relationship Id="rId239" Type="http://schemas.openxmlformats.org/officeDocument/2006/relationships/hyperlink" Target="https://pescapromo.it/t/mulinelli/mulinello-da-pesce-gatto-hart-nation-cat-8000" TargetMode="External"/><Relationship Id="rId240" Type="http://schemas.openxmlformats.org/officeDocument/2006/relationships/hyperlink" Target="https://clanpesca.com/prodotto/hart-canna-nation-cat/" TargetMode="External"/><Relationship Id="rId241" Type="http://schemas.openxmlformats.org/officeDocument/2006/relationships/hyperlink" Target="https://bassstoreitaly.com/it/hart-magnet" TargetMode="External"/><Relationship Id="rId242" Type="http://schemas.openxmlformats.org/officeDocument/2006/relationships/hyperlink" Target="https://clanpesca.com/prodotto/hart-magnet-135-mm-26-gr/" TargetMode="External"/><Relationship Id="rId243" Type="http://schemas.openxmlformats.org/officeDocument/2006/relationships/hyperlink" Target="https://bassstoreitaly.com/it/heron_crack" TargetMode="External"/><Relationship Id="rId244" Type="http://schemas.openxmlformats.org/officeDocument/2006/relationships/hyperlink" Target="https://clanpesca.com/prodotto/heron-crack/" TargetMode="External"/><Relationship Id="rId245" Type="http://schemas.openxmlformats.org/officeDocument/2006/relationships/hyperlink" Target="https://bassstoreitaly.com/it/heron-crack-tandem" TargetMode="External"/><Relationship Id="rId246" Type="http://schemas.openxmlformats.org/officeDocument/2006/relationships/hyperlink" Target="https://clanpesca.com/prodotto/heron-crack-tandem/" TargetMode="External"/><Relationship Id="rId247" Type="http://schemas.openxmlformats.org/officeDocument/2006/relationships/hyperlink" Target="https://bassstoreitaly.com/it/heron-crack-fario-trout-hunter" TargetMode="External"/><Relationship Id="rId248" Type="http://schemas.openxmlformats.org/officeDocument/2006/relationships/hyperlink" Target="https://clanpesca.com/prodotto/heron-fario/" TargetMode="External"/><Relationship Id="rId249" Type="http://schemas.openxmlformats.org/officeDocument/2006/relationships/hyperlink" Target="https://bassstoreitaly.com/it/heron-lucciola" TargetMode="External"/><Relationship Id="rId250" Type="http://schemas.openxmlformats.org/officeDocument/2006/relationships/hyperlink" Target="https://clanpesca.com/prodotto/heron-lucciola/" TargetMode="External"/><Relationship Id="rId251" Type="http://schemas.openxmlformats.org/officeDocument/2006/relationships/hyperlink" Target="https://bassstoreitaly.com/it/heron-lucciola-amo-singolo" TargetMode="External"/><Relationship Id="rId252" Type="http://schemas.openxmlformats.org/officeDocument/2006/relationships/hyperlink" Target="https://clanpesca.com/prodotto/heron-lucciola-amo-singolo/" TargetMode="External"/><Relationship Id="rId253" Type="http://schemas.openxmlformats.org/officeDocument/2006/relationships/hyperlink" Target="https://bassstoreitaly.com/it/heron-lucciola-tandem" TargetMode="External"/><Relationship Id="rId254" Type="http://schemas.openxmlformats.org/officeDocument/2006/relationships/hyperlink" Target="https://clanpesca.com/prodotto/heron-lucciola-tandem/" TargetMode="External"/><Relationship Id="rId255" Type="http://schemas.openxmlformats.org/officeDocument/2006/relationships/hyperlink" Target="https://bassstoreitaly.com/it/heron_crack" TargetMode="External"/><Relationship Id="rId256" Type="http://schemas.openxmlformats.org/officeDocument/2006/relationships/hyperlink" Target="https://clanpesca.com/prodotto/heron-nylon-crack-1-mt-160/" TargetMode="External"/><Relationship Id="rId257" Type="http://schemas.openxmlformats.org/officeDocument/2006/relationships/hyperlink" Target="https://bassstoreitaly.com/it/heron-ondulante-doppio" TargetMode="External"/><Relationship Id="rId258" Type="http://schemas.openxmlformats.org/officeDocument/2006/relationships/hyperlink" Target="https://clanpesca.com/prodotto/heron-ondulante-doppio/" TargetMode="External"/><Relationship Id="rId259" Type="http://schemas.openxmlformats.org/officeDocument/2006/relationships/hyperlink" Target="https://bassstoreitaly.com/it/heron-round-jig-head" TargetMode="External"/><Relationship Id="rId260" Type="http://schemas.openxmlformats.org/officeDocument/2006/relationships/hyperlink" Target="https://clanpesca.com/prodotto/heron-round-jig-head/" TargetMode="External"/><Relationship Id="rId261" Type="http://schemas.openxmlformats.org/officeDocument/2006/relationships/hyperlink" Target="https://bassstoreitaly.com/it/hideup-coike-fish-l-elastomer" TargetMode="External"/><Relationship Id="rId262" Type="http://schemas.openxmlformats.org/officeDocument/2006/relationships/hyperlink" Target="https://clanpesca.com/prodotto/hideup-coike-fish-m-elastomer/" TargetMode="External"/><Relationship Id="rId263" Type="http://schemas.openxmlformats.org/officeDocument/2006/relationships/hyperlink" Target="https://bassstoreitaly.com/it/hideup-coike-thunder-elastomer" TargetMode="External"/><Relationship Id="rId264" Type="http://schemas.openxmlformats.org/officeDocument/2006/relationships/hyperlink" Target="https://clanpesca.com/prodotto/hideup-coike-thunder-elastomer/" TargetMode="External"/><Relationship Id="rId265" Type="http://schemas.openxmlformats.org/officeDocument/2006/relationships/hyperlink" Target="https://bassstoreitaly.com/it/hideup-coike-judy-fish" TargetMode="External"/><Relationship Id="rId266" Type="http://schemas.openxmlformats.org/officeDocument/2006/relationships/hyperlink" Target="https://clanpesca.com/prodotto/hideup-judyfish-4-2/" TargetMode="External"/><Relationship Id="rId267" Type="http://schemas.openxmlformats.org/officeDocument/2006/relationships/hyperlink" Target="https://bassstoreitaly.com/it/imakatsu-javallon-neo" TargetMode="External"/><Relationship Id="rId268" Type="http://schemas.openxmlformats.org/officeDocument/2006/relationships/hyperlink" Target="https://clanpesca.com/prodotto/imakatsu-javallon-140/" TargetMode="External"/><Relationship Id="rId269" Type="http://schemas.openxmlformats.org/officeDocument/2006/relationships/hyperlink" Target="https://bassstoreitaly.com/it/ivyline-acti-spoon" TargetMode="External"/><Relationship Id="rId270" Type="http://schemas.openxmlformats.org/officeDocument/2006/relationships/hyperlink" Target="https://clanpesca.com/prodotto/ivyline-acti-gr-1-2-2/" TargetMode="External"/><Relationship Id="rId271" Type="http://schemas.openxmlformats.org/officeDocument/2006/relationships/hyperlink" Target="https://bassstoreitaly.com/it/ivyline-acti-mini-dimple" TargetMode="External"/><Relationship Id="rId272" Type="http://schemas.openxmlformats.org/officeDocument/2006/relationships/hyperlink" Target="https://clanpesca.com/prodotto/ivyline-acti-mini-gr-1/" TargetMode="External"/><Relationship Id="rId273" Type="http://schemas.openxmlformats.org/officeDocument/2006/relationships/hyperlink" Target="https://bassstoreitaly.com/it/keitech-shad-impact" TargetMode="External"/><Relationship Id="rId274" Type="http://schemas.openxmlformats.org/officeDocument/2006/relationships/hyperlink" Target="https://clanpesca.com/prodotto/keitech-shad-impact-2&#8243;/" TargetMode="External"/><Relationship Id="rId275" Type="http://schemas.openxmlformats.org/officeDocument/2006/relationships/hyperlink" Target="https://pescapromo.it/t/shads/keitech-swing-impact-fat-3-8-inch-9-6cm" TargetMode="External"/><Relationship Id="rId276" Type="http://schemas.openxmlformats.org/officeDocument/2006/relationships/hyperlink" Target="https://clanpesca.com/prodotto/keitech-shad-impact-2&#8243;/" TargetMode="External"/><Relationship Id="rId277" Type="http://schemas.openxmlformats.org/officeDocument/2006/relationships/hyperlink" Target="https://www.webpesca.it/shop/artifiiciale-shad-keitech-swing-impact-4-10-cm-black/" TargetMode="External"/><Relationship Id="rId278" Type="http://schemas.openxmlformats.org/officeDocument/2006/relationships/hyperlink" Target="https://clanpesca.com/prodotto/keitech-shad-impact-2&#8243;/" TargetMode="External"/><Relationship Id="rId279" Type="http://schemas.openxmlformats.org/officeDocument/2006/relationships/hyperlink" Target="https://bassstoreitaly.com/it/keitech-shad-impact" TargetMode="External"/><Relationship Id="rId280" Type="http://schemas.openxmlformats.org/officeDocument/2006/relationships/hyperlink" Target="https://clanpesca.com/prodotto/keitech-shad-impact-3&#8243;/" TargetMode="External"/><Relationship Id="rId281" Type="http://schemas.openxmlformats.org/officeDocument/2006/relationships/hyperlink" Target="https://pescapromo.it/t/shads/keitech-swing-impact-fat-3-8-inch-9-6cm" TargetMode="External"/><Relationship Id="rId282" Type="http://schemas.openxmlformats.org/officeDocument/2006/relationships/hyperlink" Target="https://clanpesca.com/prodotto/keitech-shad-impact-3&#8243;/" TargetMode="External"/><Relationship Id="rId283" Type="http://schemas.openxmlformats.org/officeDocument/2006/relationships/hyperlink" Target="https://www.webpesca.it/shop/artifiiciale-shad-keitech-swing-impact-4-10-cm-black/" TargetMode="External"/><Relationship Id="rId284" Type="http://schemas.openxmlformats.org/officeDocument/2006/relationships/hyperlink" Target="https://clanpesca.com/prodotto/keitech-shad-impact-3&#8243;/" TargetMode="External"/><Relationship Id="rId285" Type="http://schemas.openxmlformats.org/officeDocument/2006/relationships/hyperlink" Target="https://bassstoreitaly.com/it/keitech-swing-impact" TargetMode="External"/><Relationship Id="rId286" Type="http://schemas.openxmlformats.org/officeDocument/2006/relationships/hyperlink" Target="https://clanpesca.com/prodotto/keitech-swing-impact-3/" TargetMode="External"/><Relationship Id="rId287" Type="http://schemas.openxmlformats.org/officeDocument/2006/relationships/hyperlink" Target="https://escaepescashop.it/prodotto/keitech-swing-impact-3/" TargetMode="External"/><Relationship Id="rId288" Type="http://schemas.openxmlformats.org/officeDocument/2006/relationships/hyperlink" Target="https://clanpesca.com/prodotto/keitech-swing-impact-3/" TargetMode="External"/><Relationship Id="rId289" Type="http://schemas.openxmlformats.org/officeDocument/2006/relationships/hyperlink" Target="https://www.megafish.it/soft-baits-artificiali-spinning/1820-keitech-fat-swing-impact.html" TargetMode="External"/><Relationship Id="rId290" Type="http://schemas.openxmlformats.org/officeDocument/2006/relationships/hyperlink" Target="https://clanpesca.com/prodotto/keitech-swing-impact-3/" TargetMode="External"/><Relationship Id="rId291" Type="http://schemas.openxmlformats.org/officeDocument/2006/relationships/hyperlink" Target="https://pescapromo.it/t/shads/keitech-swing-impact-fat-3-8-inch-9-6cm" TargetMode="External"/><Relationship Id="rId292" Type="http://schemas.openxmlformats.org/officeDocument/2006/relationships/hyperlink" Target="https://clanpesca.com/prodotto/keitech-swing-impact-3/" TargetMode="External"/><Relationship Id="rId293" Type="http://schemas.openxmlformats.org/officeDocument/2006/relationships/hyperlink" Target="https://www.webpesca.it/shop/artifiiciale-shad-keitech-swing-impact-4-10-cm-black/" TargetMode="External"/><Relationship Id="rId294" Type="http://schemas.openxmlformats.org/officeDocument/2006/relationships/hyperlink" Target="https://clanpesca.com/prodotto/keitech-swing-impact-3/" TargetMode="External"/><Relationship Id="rId295" Type="http://schemas.openxmlformats.org/officeDocument/2006/relationships/hyperlink" Target="https://bassstoreitaly.com/it/keitech-swing-impact" TargetMode="External"/><Relationship Id="rId296" Type="http://schemas.openxmlformats.org/officeDocument/2006/relationships/hyperlink" Target="https://clanpesca.com/prodotto/keitech-swing-impact-4/" TargetMode="External"/><Relationship Id="rId297" Type="http://schemas.openxmlformats.org/officeDocument/2006/relationships/hyperlink" Target="https://escaepescashop.it/prodotto/keitech-swing-impact-3/" TargetMode="External"/><Relationship Id="rId298" Type="http://schemas.openxmlformats.org/officeDocument/2006/relationships/hyperlink" Target="https://clanpesca.com/prodotto/keitech-swing-impact-4/" TargetMode="External"/><Relationship Id="rId299" Type="http://schemas.openxmlformats.org/officeDocument/2006/relationships/hyperlink" Target="https://www.megafish.it/soft-baits-artificiali-spinning/1820-keitech-fat-swing-impact.html" TargetMode="External"/><Relationship Id="rId300" Type="http://schemas.openxmlformats.org/officeDocument/2006/relationships/hyperlink" Target="https://clanpesca.com/prodotto/keitech-swing-impact-4/" TargetMode="External"/><Relationship Id="rId301" Type="http://schemas.openxmlformats.org/officeDocument/2006/relationships/hyperlink" Target="https://pescapromo.it/t/shads/keitech-swing-impact-fat-3-8-inch-9-6cm" TargetMode="External"/><Relationship Id="rId302" Type="http://schemas.openxmlformats.org/officeDocument/2006/relationships/hyperlink" Target="https://clanpesca.com/prodotto/keitech-swing-impact-4/" TargetMode="External"/><Relationship Id="rId303" Type="http://schemas.openxmlformats.org/officeDocument/2006/relationships/hyperlink" Target="https://www.webpesca.it/shop/artifiiciale-shad-keitech-swing-impact-4-10-cm-black/" TargetMode="External"/><Relationship Id="rId304" Type="http://schemas.openxmlformats.org/officeDocument/2006/relationships/hyperlink" Target="https://clanpesca.com/prodotto/keitech-swing-impact-4/" TargetMode="External"/><Relationship Id="rId305" Type="http://schemas.openxmlformats.org/officeDocument/2006/relationships/hyperlink" Target="https://bassstoreitaly.com/it/keitech-swing-impact-fat" TargetMode="External"/><Relationship Id="rId306" Type="http://schemas.openxmlformats.org/officeDocument/2006/relationships/hyperlink" Target="https://clanpesca.com/prodotto/keitech-swing-impact-fat-7-8/" TargetMode="External"/><Relationship Id="rId307" Type="http://schemas.openxmlformats.org/officeDocument/2006/relationships/hyperlink" Target="https://www.megafish.it/soft-baits-artificiali-spinning/1820-keitech-fat-swing-impact.html" TargetMode="External"/><Relationship Id="rId308" Type="http://schemas.openxmlformats.org/officeDocument/2006/relationships/hyperlink" Target="https://clanpesca.com/prodotto/keitech-swing-impact-fat-7-8/" TargetMode="External"/><Relationship Id="rId309" Type="http://schemas.openxmlformats.org/officeDocument/2006/relationships/hyperlink" Target="https://pescapromo.it/t/shads/keitech-swing-impact-fat-3-8-inch-9-6cm" TargetMode="External"/><Relationship Id="rId310" Type="http://schemas.openxmlformats.org/officeDocument/2006/relationships/hyperlink" Target="https://clanpesca.com/prodotto/keitech-swing-impact-fat-7-8/" TargetMode="External"/><Relationship Id="rId311" Type="http://schemas.openxmlformats.org/officeDocument/2006/relationships/hyperlink" Target="https://bassstoreitaly.com/it/legio-aurea-augustus" TargetMode="External"/><Relationship Id="rId312" Type="http://schemas.openxmlformats.org/officeDocument/2006/relationships/hyperlink" Target="https://clanpesca.com/prodotto/legio-aurea-augustus-4-5/" TargetMode="External"/><Relationship Id="rId313" Type="http://schemas.openxmlformats.org/officeDocument/2006/relationships/hyperlink" Target="https://bassstoreitaly.com/it/legio-aurea-commodus" TargetMode="External"/><Relationship Id="rId314" Type="http://schemas.openxmlformats.org/officeDocument/2006/relationships/hyperlink" Target="https://clanpesca.com/prodotto/legio-aurea-commodus-5/" TargetMode="External"/><Relationship Id="rId315" Type="http://schemas.openxmlformats.org/officeDocument/2006/relationships/hyperlink" Target="https://bassstoreitaly.com/it/legio-aurea-roma-soft-jerkbait-worm" TargetMode="External"/><Relationship Id="rId316" Type="http://schemas.openxmlformats.org/officeDocument/2006/relationships/hyperlink" Target="https://clanpesca.com/prodotto/legio-aurea-roma-4-5/" TargetMode="External"/><Relationship Id="rId317" Type="http://schemas.openxmlformats.org/officeDocument/2006/relationships/hyperlink" Target="https://bassstoreitaly.com/it/legio-aurea-scorpio-craw-creature" TargetMode="External"/><Relationship Id="rId318" Type="http://schemas.openxmlformats.org/officeDocument/2006/relationships/hyperlink" Target="https://clanpesca.com/prodotto/legio-aurea-scorpio-4-25/" TargetMode="External"/><Relationship Id="rId319" Type="http://schemas.openxmlformats.org/officeDocument/2006/relationships/hyperlink" Target="https://bassstoreitaly.com/it/legio-aurea-serpens-finesse-worm" TargetMode="External"/><Relationship Id="rId320" Type="http://schemas.openxmlformats.org/officeDocument/2006/relationships/hyperlink" Target="https://clanpesca.com/prodotto/legio-aurea-serpens-4-25/" TargetMode="External"/><Relationship Id="rId321" Type="http://schemas.openxmlformats.org/officeDocument/2006/relationships/hyperlink" Target="https://bassstoreitaly.com/it/little-jack-metal-adict-type-zero" TargetMode="External"/><Relationship Id="rId322" Type="http://schemas.openxmlformats.org/officeDocument/2006/relationships/hyperlink" Target="https://clanpesca.com/prodotto/metal-adict-gr-20/" TargetMode="External"/><Relationship Id="rId323" Type="http://schemas.openxmlformats.org/officeDocument/2006/relationships/hyperlink" Target="https://escaepescashop.it/prodotto/little-jack-metal-adict-type-01/" TargetMode="External"/><Relationship Id="rId324" Type="http://schemas.openxmlformats.org/officeDocument/2006/relationships/hyperlink" Target="https://clanpesca.com/prodotto/metal-adict-gr-20/" TargetMode="External"/><Relationship Id="rId325" Type="http://schemas.openxmlformats.org/officeDocument/2006/relationships/hyperlink" Target="https://bassstoreitaly.com/it/little-jack-metal-adict-type-zero" TargetMode="External"/><Relationship Id="rId326" Type="http://schemas.openxmlformats.org/officeDocument/2006/relationships/hyperlink" Target="https://clanpesca.com/prodotto/metal-adict-30/" TargetMode="External"/><Relationship Id="rId327" Type="http://schemas.openxmlformats.org/officeDocument/2006/relationships/hyperlink" Target="https://escaepescashop.it/prodotto/little-jack-metal-adict-type-01/" TargetMode="External"/><Relationship Id="rId328" Type="http://schemas.openxmlformats.org/officeDocument/2006/relationships/hyperlink" Target="https://clanpesca.com/prodotto/metal-adict-30/" TargetMode="External"/><Relationship Id="rId329" Type="http://schemas.openxmlformats.org/officeDocument/2006/relationships/hyperlink" Target="https://bassstoreitaly.com/it/little-jack-metal-adict-type-zero" TargetMode="External"/><Relationship Id="rId330" Type="http://schemas.openxmlformats.org/officeDocument/2006/relationships/hyperlink" Target="https://clanpesca.com/prodotto/little-jack-metal-adict-type-0-gr-40/" TargetMode="External"/><Relationship Id="rId331" Type="http://schemas.openxmlformats.org/officeDocument/2006/relationships/hyperlink" Target="https://escaepescashop.it/prodotto/little-jack-metal-adict-type-01/" TargetMode="External"/><Relationship Id="rId332" Type="http://schemas.openxmlformats.org/officeDocument/2006/relationships/hyperlink" Target="https://clanpesca.com/prodotto/little-jack-metal-adict-type-0-gr-40/" TargetMode="External"/><Relationship Id="rId333" Type="http://schemas.openxmlformats.org/officeDocument/2006/relationships/hyperlink" Target="https://bassstoreitaly.com/it/little-jack-metal-adict-type-zero" TargetMode="External"/><Relationship Id="rId334" Type="http://schemas.openxmlformats.org/officeDocument/2006/relationships/hyperlink" Target="https://clanpesca.com/prodotto/little-jack-metal-adict-type-1-gr-12/" TargetMode="External"/><Relationship Id="rId335" Type="http://schemas.openxmlformats.org/officeDocument/2006/relationships/hyperlink" Target="https://escaepescashop.it/prodotto/little-jack-metal-adict-type-01/" TargetMode="External"/><Relationship Id="rId336" Type="http://schemas.openxmlformats.org/officeDocument/2006/relationships/hyperlink" Target="https://clanpesca.com/prodotto/little-jack-metal-adict-type-1-gr-12/" TargetMode="External"/><Relationship Id="rId337" Type="http://schemas.openxmlformats.org/officeDocument/2006/relationships/hyperlink" Target="https://bassstoreitaly.com/it/little-jack-metal-adict-type-zero" TargetMode="External"/><Relationship Id="rId338" Type="http://schemas.openxmlformats.org/officeDocument/2006/relationships/hyperlink" Target="https://clanpesca.com/prodotto/little-jack-metal-adict-type-1-gr-18/" TargetMode="External"/><Relationship Id="rId339" Type="http://schemas.openxmlformats.org/officeDocument/2006/relationships/hyperlink" Target="https://escaepescashop.it/prodotto/little-jack-metal-adict-type-01/" TargetMode="External"/><Relationship Id="rId340" Type="http://schemas.openxmlformats.org/officeDocument/2006/relationships/hyperlink" Target="https://clanpesca.com/prodotto/little-jack-metal-adict-type-1-gr-18/" TargetMode="External"/><Relationship Id="rId341" Type="http://schemas.openxmlformats.org/officeDocument/2006/relationships/hyperlink" Target="https://bassstoreitaly.com/it/little-jack-metal-adict-type-zero" TargetMode="External"/><Relationship Id="rId342" Type="http://schemas.openxmlformats.org/officeDocument/2006/relationships/hyperlink" Target="https://clanpesca.com/prodotto/little-jack-metal-adict-type-1-gr-30/" TargetMode="External"/><Relationship Id="rId343" Type="http://schemas.openxmlformats.org/officeDocument/2006/relationships/hyperlink" Target="https://escaepescashop.it/prodotto/little-jack-metal-adict-type-01/" TargetMode="External"/><Relationship Id="rId344" Type="http://schemas.openxmlformats.org/officeDocument/2006/relationships/hyperlink" Target="https://clanpesca.com/prodotto/little-jack-metal-adict-type-1-gr-30/" TargetMode="External"/><Relationship Id="rId345" Type="http://schemas.openxmlformats.org/officeDocument/2006/relationships/hyperlink" Target="https://bassstoreitaly.com/it/livetarget-ict-freestyle-frog-2" TargetMode="External"/><Relationship Id="rId346" Type="http://schemas.openxmlformats.org/officeDocument/2006/relationships/hyperlink" Target="https://clanpesca.com/prodotto/livetarget-freestyle-frog-3/" TargetMode="External"/><Relationship Id="rId347" Type="http://schemas.openxmlformats.org/officeDocument/2006/relationships/hyperlink" Target="https://bassstoreitaly.com/it/livetarget-ict-freestyle-frog-2" TargetMode="External"/><Relationship Id="rId348" Type="http://schemas.openxmlformats.org/officeDocument/2006/relationships/hyperlink" Target="https://clanpesca.com/prodotto/livetarget-freestyle-frog-3-1-2/" TargetMode="External"/><Relationship Id="rId349" Type="http://schemas.openxmlformats.org/officeDocument/2006/relationships/hyperlink" Target="https://bassstoreitaly.com/it/livetarget-adult-trout-swimbait" TargetMode="External"/><Relationship Id="rId350" Type="http://schemas.openxmlformats.org/officeDocument/2006/relationships/hyperlink" Target="https://clanpesca.com/prodotto/livetarget-adult-trout-swimbait-2/" TargetMode="External"/><Relationship Id="rId351" Type="http://schemas.openxmlformats.org/officeDocument/2006/relationships/hyperlink" Target="https://pescapromo.it/t/swimbaits/livetarget-lures-trout-adult-swimbait-sinking-silver-violet-16-5cm-71g" TargetMode="External"/><Relationship Id="rId352" Type="http://schemas.openxmlformats.org/officeDocument/2006/relationships/hyperlink" Target="https://clanpesca.com/prodotto/livetarget-adult-trout-swimbait-2/" TargetMode="External"/><Relationship Id="rId353" Type="http://schemas.openxmlformats.org/officeDocument/2006/relationships/hyperlink" Target="https://pescapromo.it/t/swimbaits/esche-livetarget-sunfish-swimbait-bronze-bluegill-5-0-8-9cm-14g" TargetMode="External"/><Relationship Id="rId354" Type="http://schemas.openxmlformats.org/officeDocument/2006/relationships/hyperlink" Target="https://clanpesca.com/prodotto/sunfish-swimbait-cm-1110/" TargetMode="External"/><Relationship Id="rId355" Type="http://schemas.openxmlformats.org/officeDocument/2006/relationships/hyperlink" Target="https://bassstoreitaly.com/it/lucky-craft-lc-25-shallow-crank" TargetMode="External"/><Relationship Id="rId356" Type="http://schemas.openxmlformats.org/officeDocument/2006/relationships/hyperlink" Target="https://clanpesca.com/prodotto/lucky-craft-lc-2-5-shallow-crank/" TargetMode="External"/><Relationship Id="rId357" Type="http://schemas.openxmlformats.org/officeDocument/2006/relationships/hyperlink" Target="https://pescapromo.it/t/shads/lucky-john-kubira-swim-shad" TargetMode="External"/><Relationship Id="rId358" Type="http://schemas.openxmlformats.org/officeDocument/2006/relationships/hyperlink" Target="https://clanpesca.com/prodotto/lucky-john-kubira-swim-shad-10-3/" TargetMode="External"/><Relationship Id="rId359" Type="http://schemas.openxmlformats.org/officeDocument/2006/relationships/hyperlink" Target="https://pescapromo.it/t/shads/lucky-john-kubira-swim-shad" TargetMode="External"/><Relationship Id="rId360" Type="http://schemas.openxmlformats.org/officeDocument/2006/relationships/hyperlink" Target="https://clanpesca.com/prodotto/lucky-john-kubira-swim-shad-7/" TargetMode="External"/><Relationship Id="rId361" Type="http://schemas.openxmlformats.org/officeDocument/2006/relationships/hyperlink" Target="https://pescapromo.it/t/shads/lucky-john-kubira-swim-shad" TargetMode="External"/><Relationship Id="rId362" Type="http://schemas.openxmlformats.org/officeDocument/2006/relationships/hyperlink" Target="https://clanpesca.com/prodotto/lucky-john-swim-shad-9/" TargetMode="External"/><Relationship Id="rId363" Type="http://schemas.openxmlformats.org/officeDocument/2006/relationships/hyperlink" Target="https://bassstoreitaly.com/it/major-craft-ceana-italy-edition" TargetMode="External"/><Relationship Id="rId364" Type="http://schemas.openxmlformats.org/officeDocument/2006/relationships/hyperlink" Target="https://clanpesca.com/prodotto/major-craft-ceana-italy-edition/" TargetMode="External"/><Relationship Id="rId365" Type="http://schemas.openxmlformats.org/officeDocument/2006/relationships/hyperlink" Target="https://escaepescashop.it/prodotto/major-craft-ceana-italy-edition/" TargetMode="External"/><Relationship Id="rId366" Type="http://schemas.openxmlformats.org/officeDocument/2006/relationships/hyperlink" Target="https://clanpesca.com/prodotto/major-craft-ceana-italy-edition/" TargetMode="External"/><Relationship Id="rId367" Type="http://schemas.openxmlformats.org/officeDocument/2006/relationships/hyperlink" Target="https://bassstoreitaly.com/it/major-craft-ceana-italy-edition" TargetMode="External"/><Relationship Id="rId368" Type="http://schemas.openxmlformats.org/officeDocument/2006/relationships/hyperlink" Target="https://clanpesca.com/prodotto/mulinello-ceana-major-craft/" TargetMode="External"/><Relationship Id="rId369" Type="http://schemas.openxmlformats.org/officeDocument/2006/relationships/hyperlink" Target="https://escaepescashop.it/prodotto/major-craft-ceana-fw-spinning/" TargetMode="External"/><Relationship Id="rId370" Type="http://schemas.openxmlformats.org/officeDocument/2006/relationships/hyperlink" Target="https://clanpesca.com/prodotto/mulinello-ceana-major-craft/" TargetMode="External"/><Relationship Id="rId371" Type="http://schemas.openxmlformats.org/officeDocument/2006/relationships/hyperlink" Target="https://pescapromo.it/t/canne-da-spinning/canna-da-spinning-major-craft-ceana" TargetMode="External"/><Relationship Id="rId372" Type="http://schemas.openxmlformats.org/officeDocument/2006/relationships/hyperlink" Target="https://clanpesca.com/prodotto/mulinello-ceana-major-craft/" TargetMode="External"/><Relationship Id="rId373" Type="http://schemas.openxmlformats.org/officeDocument/2006/relationships/hyperlink" Target="https://bassstoreitaly.com/it/meiho-versus-vs-3078-organizer" TargetMode="External"/><Relationship Id="rId374" Type="http://schemas.openxmlformats.org/officeDocument/2006/relationships/hyperlink" Target="https://clanpesca.com/prodotto/valigetta-meiho-vs-3078/" TargetMode="External"/><Relationship Id="rId375" Type="http://schemas.openxmlformats.org/officeDocument/2006/relationships/hyperlink" Target="https://www.webpesca.it/shop/scatola-meiho-versus-vs-3070-black/" TargetMode="External"/><Relationship Id="rId376" Type="http://schemas.openxmlformats.org/officeDocument/2006/relationships/hyperlink" Target="https://clanpesca.com/prodotto/valigetta-meiho-vs-3078/" TargetMode="External"/><Relationship Id="rId377" Type="http://schemas.openxmlformats.org/officeDocument/2006/relationships/hyperlink" Target="https://bassstoreitaly.com/it/meiho-versus-vs-3080-upper-p" TargetMode="External"/><Relationship Id="rId378" Type="http://schemas.openxmlformats.org/officeDocument/2006/relationships/hyperlink" Target="https://clanpesca.com/prodotto/valigetta-meiho-vs-3080/" TargetMode="External"/><Relationship Id="rId379" Type="http://schemas.openxmlformats.org/officeDocument/2006/relationships/hyperlink" Target="https://www.webpesca.it/shop/scatola-meiho-versus-vs-3080-black/" TargetMode="External"/><Relationship Id="rId380" Type="http://schemas.openxmlformats.org/officeDocument/2006/relationships/hyperlink" Target="https://clanpesca.com/prodotto/valigetta-meiho-vs-3080/" TargetMode="External"/><Relationship Id="rId381" Type="http://schemas.openxmlformats.org/officeDocument/2006/relationships/hyperlink" Target="https://pescapromo.it/t/mulinelli/mulinello-mikado-cat-territory" TargetMode="External"/><Relationship Id="rId382" Type="http://schemas.openxmlformats.org/officeDocument/2006/relationships/hyperlink" Target="https://clanpesca.com/prodotto/mikado-cat-territory/" TargetMode="External"/><Relationship Id="rId383" Type="http://schemas.openxmlformats.org/officeDocument/2006/relationships/hyperlink" Target="https://bassstoreitaly.com/it/molix-caleo-craw" TargetMode="External"/><Relationship Id="rId384" Type="http://schemas.openxmlformats.org/officeDocument/2006/relationships/hyperlink" Target="https://clanpesca.com/prodotto/molix-caleo-craw-4/" TargetMode="External"/><Relationship Id="rId385" Type="http://schemas.openxmlformats.org/officeDocument/2006/relationships/hyperlink" Target="https://www.webpesca.it/shop/artificiale-craw-molix-caleo-craw-10-cm-green-shimmering/" TargetMode="External"/><Relationship Id="rId386" Type="http://schemas.openxmlformats.org/officeDocument/2006/relationships/hyperlink" Target="https://clanpesca.com/prodotto/molix-caleo-craw-4/" TargetMode="External"/><Relationship Id="rId387" Type="http://schemas.openxmlformats.org/officeDocument/2006/relationships/hyperlink" Target="https://bassstoreitaly.com/it/molix-craw-flex" TargetMode="External"/><Relationship Id="rId388" Type="http://schemas.openxmlformats.org/officeDocument/2006/relationships/hyperlink" Target="https://clanpesca.com/prodotto/molix-craw-flex-3/" TargetMode="External"/><Relationship Id="rId389" Type="http://schemas.openxmlformats.org/officeDocument/2006/relationships/hyperlink" Target="https://www.webpesca.it/shop/artificiale-craw-molix-flex-3-7-5-cm-blu-notte/" TargetMode="External"/><Relationship Id="rId390" Type="http://schemas.openxmlformats.org/officeDocument/2006/relationships/hyperlink" Target="https://clanpesca.com/prodotto/molix-craw-flex-3/" TargetMode="External"/><Relationship Id="rId391" Type="http://schemas.openxmlformats.org/officeDocument/2006/relationships/hyperlink" Target="https://bassstoreitaly.com/it/molix-creature" TargetMode="External"/><Relationship Id="rId392" Type="http://schemas.openxmlformats.org/officeDocument/2006/relationships/hyperlink" Target="https://clanpesca.com/prodotto/molix-creature-4/" TargetMode="External"/><Relationship Id="rId393" Type="http://schemas.openxmlformats.org/officeDocument/2006/relationships/hyperlink" Target="https://pescapromo.it/t/creature-baits/molix-sc-bug-4-5-pezzi" TargetMode="External"/><Relationship Id="rId394" Type="http://schemas.openxmlformats.org/officeDocument/2006/relationships/hyperlink" Target="https://clanpesca.com/prodotto/molix-creature-4/" TargetMode="External"/><Relationship Id="rId395" Type="http://schemas.openxmlformats.org/officeDocument/2006/relationships/hyperlink" Target="https://bassstoreitaly.com/it/ondulanti-molix-elite-trout-area-spoon" TargetMode="External"/><Relationship Id="rId396" Type="http://schemas.openxmlformats.org/officeDocument/2006/relationships/hyperlink" Target="https://clanpesca.com/prodotto/molix-elite-area-spoon-gr-0-8/" TargetMode="External"/><Relationship Id="rId397" Type="http://schemas.openxmlformats.org/officeDocument/2006/relationships/hyperlink" Target="https://escaepescashop.it/prodotto/molix-elite-area-spoon/" TargetMode="External"/><Relationship Id="rId398" Type="http://schemas.openxmlformats.org/officeDocument/2006/relationships/hyperlink" Target="https://clanpesca.com/prodotto/molix-elite-area-spoon-gr-0-8/" TargetMode="External"/><Relationship Id="rId399" Type="http://schemas.openxmlformats.org/officeDocument/2006/relationships/hyperlink" Target="https://bassstoreitaly.com/it/molix-finder-jerk-150" TargetMode="External"/><Relationship Id="rId400" Type="http://schemas.openxmlformats.org/officeDocument/2006/relationships/hyperlink" Target="https://clanpesca.com/prodotto/molix-finder-jerk-150/" TargetMode="External"/><Relationship Id="rId401" Type="http://schemas.openxmlformats.org/officeDocument/2006/relationships/hyperlink" Target="https://escaepescashop.it/prodotto/molix-finder-jerk-110sp/" TargetMode="External"/><Relationship Id="rId402" Type="http://schemas.openxmlformats.org/officeDocument/2006/relationships/hyperlink" Target="https://clanpesca.com/prodotto/molix-finder-jerk-150/" TargetMode="External"/><Relationship Id="rId403" Type="http://schemas.openxmlformats.org/officeDocument/2006/relationships/hyperlink" Target="https://pescapromo.it/t/esche-artificiali-minnow/molix-finder-jerk-evo-110-sp-suspending-crankbait-11cm-95g" TargetMode="External"/><Relationship Id="rId404" Type="http://schemas.openxmlformats.org/officeDocument/2006/relationships/hyperlink" Target="https://clanpesca.com/prodotto/molix-finder-jerk-150/" TargetMode="External"/><Relationship Id="rId405" Type="http://schemas.openxmlformats.org/officeDocument/2006/relationships/hyperlink" Target="https://www.webpesca.it/shop/artificiale-jerkbait-molix-finder-jerk-15-cm-22-gr-red-head/" TargetMode="External"/><Relationship Id="rId406" Type="http://schemas.openxmlformats.org/officeDocument/2006/relationships/hyperlink" Target="https://clanpesca.com/prodotto/molix-finder-jerk-150/" TargetMode="External"/><Relationship Id="rId407" Type="http://schemas.openxmlformats.org/officeDocument/2006/relationships/hyperlink" Target="https://pescapromo.it/t/esche-artificiali-minnow/molix-finder-jerk-evo-110-sp-suspending-crankbait-11cm-95g" TargetMode="External"/><Relationship Id="rId408" Type="http://schemas.openxmlformats.org/officeDocument/2006/relationships/hyperlink" Target="https://clanpesca.com/prodotto/molix-finder-jerk-evo-110-suspending-cm-11-gr-9-5/" TargetMode="External"/><Relationship Id="rId409" Type="http://schemas.openxmlformats.org/officeDocument/2006/relationships/hyperlink" Target="https://bassstoreitaly.com/it/molix-finder-jerk-evo-125" TargetMode="External"/><Relationship Id="rId410" Type="http://schemas.openxmlformats.org/officeDocument/2006/relationships/hyperlink" Target="https://clanpesca.com/prodotto/molix-finder-jerk-evo-125-f-cm-12-5-gr-15/" TargetMode="External"/><Relationship Id="rId411" Type="http://schemas.openxmlformats.org/officeDocument/2006/relationships/hyperlink" Target="https://pescapromo.it/t/esche-artificiali-minnow/molix-finder-jerk-evo-110-sp-suspending-crankbait-11cm-95g" TargetMode="External"/><Relationship Id="rId412" Type="http://schemas.openxmlformats.org/officeDocument/2006/relationships/hyperlink" Target="https://clanpesca.com/prodotto/molix-finder-jerk-evo-125-f-cm-12-5-gr-15/" TargetMode="External"/><Relationship Id="rId413" Type="http://schemas.openxmlformats.org/officeDocument/2006/relationships/hyperlink" Target="https://www.webpesca.it/shop/artificiale-jerkbait-molix-finder-jerk-evo-f-125-cm-15-gr-cefalo/" TargetMode="External"/><Relationship Id="rId414" Type="http://schemas.openxmlformats.org/officeDocument/2006/relationships/hyperlink" Target="https://clanpesca.com/prodotto/molix-finder-jerk-evo-125-f-cm-12-5-gr-15/" TargetMode="External"/><Relationship Id="rId415" Type="http://schemas.openxmlformats.org/officeDocument/2006/relationships/hyperlink" Target="https://bassstoreitaly.com/it/molix-finder-jerk-evo-150-ss" TargetMode="External"/><Relationship Id="rId416" Type="http://schemas.openxmlformats.org/officeDocument/2006/relationships/hyperlink" Target="https://clanpesca.com/prodotto/molix-finder-jerk-evo-150-ss/" TargetMode="External"/><Relationship Id="rId417" Type="http://schemas.openxmlformats.org/officeDocument/2006/relationships/hyperlink" Target="https://www.webpesca.it/shop/artificiale-jerkbait-molix-finder-jerk-evo-ss-15-cm-24-gr-red-head/" TargetMode="External"/><Relationship Id="rId418" Type="http://schemas.openxmlformats.org/officeDocument/2006/relationships/hyperlink" Target="https://clanpesca.com/prodotto/molix-finder-jerk-evo-150-ss/" TargetMode="External"/><Relationship Id="rId419" Type="http://schemas.openxmlformats.org/officeDocument/2006/relationships/hyperlink" Target="https://pescapromo.it/t/esche-artificiali-minnow/molix-finder-jerk-evo-110-sp-suspending-crankbait-11cm-95g" TargetMode="External"/><Relationship Id="rId420" Type="http://schemas.openxmlformats.org/officeDocument/2006/relationships/hyperlink" Target="https://clanpesca.com/prodotto/molix-finder-jerk-evo-90-sp/" TargetMode="External"/><Relationship Id="rId421" Type="http://schemas.openxmlformats.org/officeDocument/2006/relationships/hyperlink" Target="https://bassstoreitaly.com/it/molix-fioretto-speciale-jackfin-top-water-spinning" TargetMode="External"/><Relationship Id="rId422" Type="http://schemas.openxmlformats.org/officeDocument/2006/relationships/hyperlink" Target="https://clanpesca.com/prodotto/molix-fioretto-speciale/" TargetMode="External"/><Relationship Id="rId423" Type="http://schemas.openxmlformats.org/officeDocument/2006/relationships/hyperlink" Target="https://bassstoreitaly.com/it/molix-fioretto-trofeo" TargetMode="External"/><Relationship Id="rId424" Type="http://schemas.openxmlformats.org/officeDocument/2006/relationships/hyperlink" Target="https://clanpesca.com/prodotto/molix-fioretto-trofeo-casting-82-1-4-oz-2/" TargetMode="External"/><Relationship Id="rId425" Type="http://schemas.openxmlformats.org/officeDocument/2006/relationships/hyperlink" Target="https://bassstoreitaly.com/it/molix-fluorocarbon" TargetMode="External"/><Relationship Id="rId426" Type="http://schemas.openxmlformats.org/officeDocument/2006/relationships/hyperlink" Target="https://clanpesca.com/prodotto/molix-fluorocarbon-70-mt/" TargetMode="External"/><Relationship Id="rId427" Type="http://schemas.openxmlformats.org/officeDocument/2006/relationships/hyperlink" Target="https://escaepescashop.it/prodotto/molix-fluorocarbon/" TargetMode="External"/><Relationship Id="rId428" Type="http://schemas.openxmlformats.org/officeDocument/2006/relationships/hyperlink" Target="https://clanpesca.com/prodotto/molix-fluorocarbon-70-mt/" TargetMode="External"/><Relationship Id="rId429" Type="http://schemas.openxmlformats.org/officeDocument/2006/relationships/hyperlink" Target="https://bassstoreitaly.com/it/molix-freaky-craw" TargetMode="External"/><Relationship Id="rId430" Type="http://schemas.openxmlformats.org/officeDocument/2006/relationships/hyperlink" Target="https://clanpesca.com/prodotto/molix-freaky-craw-2-8/" TargetMode="External"/><Relationship Id="rId431" Type="http://schemas.openxmlformats.org/officeDocument/2006/relationships/hyperlink" Target="https://escaepescashop.it/prodotto/molix-freaky-craw-28/" TargetMode="External"/><Relationship Id="rId432" Type="http://schemas.openxmlformats.org/officeDocument/2006/relationships/hyperlink" Target="https://clanpesca.com/prodotto/molix-freaky-craw-2-8/" TargetMode="External"/><Relationship Id="rId433" Type="http://schemas.openxmlformats.org/officeDocument/2006/relationships/hyperlink" Target="https://www.webpesca.it/shop/artificiale-craw-molix-freaky-craw-4-10-cm-black-blue/" TargetMode="External"/><Relationship Id="rId434" Type="http://schemas.openxmlformats.org/officeDocument/2006/relationships/hyperlink" Target="https://clanpesca.com/prodotto/molix-freaky-craw-2-8/" TargetMode="External"/><Relationship Id="rId435" Type="http://schemas.openxmlformats.org/officeDocument/2006/relationships/hyperlink" Target="https://bassstoreitaly.com/it/molix-freaky-craw" TargetMode="External"/><Relationship Id="rId436" Type="http://schemas.openxmlformats.org/officeDocument/2006/relationships/hyperlink" Target="https://clanpesca.com/prodotto/molix-freaky-craw-4/" TargetMode="External"/><Relationship Id="rId437" Type="http://schemas.openxmlformats.org/officeDocument/2006/relationships/hyperlink" Target="https://escaepescashop.it/prodotto/molix-freaky-craw-4/" TargetMode="External"/><Relationship Id="rId438" Type="http://schemas.openxmlformats.org/officeDocument/2006/relationships/hyperlink" Target="https://clanpesca.com/prodotto/molix-freaky-craw-4/" TargetMode="External"/><Relationship Id="rId439" Type="http://schemas.openxmlformats.org/officeDocument/2006/relationships/hyperlink" Target="https://www.webpesca.it/shop/artificiale-craw-molix-freaky-craw-4-10-cm-black-blue/" TargetMode="External"/><Relationship Id="rId440" Type="http://schemas.openxmlformats.org/officeDocument/2006/relationships/hyperlink" Target="https://clanpesca.com/prodotto/molix-freaky-craw-4/" TargetMode="External"/><Relationship Id="rId441" Type="http://schemas.openxmlformats.org/officeDocument/2006/relationships/hyperlink" Target="https://bassstoreitaly.com/it/molix-freaky-flex" TargetMode="External"/><Relationship Id="rId442" Type="http://schemas.openxmlformats.org/officeDocument/2006/relationships/hyperlink" Target="https://clanpesca.com/prodotto/molix-freaky-flex-3/" TargetMode="External"/><Relationship Id="rId443" Type="http://schemas.openxmlformats.org/officeDocument/2006/relationships/hyperlink" Target="https://www.webpesca.it/shop/artificiale-craw-molix-freaky-flex-3-7-5-cm-mixed-pack/" TargetMode="External"/><Relationship Id="rId444" Type="http://schemas.openxmlformats.org/officeDocument/2006/relationships/hyperlink" Target="https://clanpesca.com/prodotto/molix-freaky-flex-3/" TargetMode="External"/><Relationship Id="rId445" Type="http://schemas.openxmlformats.org/officeDocument/2006/relationships/hyperlink" Target="https://bassstoreitaly.com/it/molix-freaky-flip" TargetMode="External"/><Relationship Id="rId446" Type="http://schemas.openxmlformats.org/officeDocument/2006/relationships/hyperlink" Target="https://clanpesca.com/prodotto/molix-freaky-flip-4/" TargetMode="External"/><Relationship Id="rId447" Type="http://schemas.openxmlformats.org/officeDocument/2006/relationships/hyperlink" Target="https://bassstoreitaly.com/it/molix-glide-bait-130-dying" TargetMode="External"/><Relationship Id="rId448" Type="http://schemas.openxmlformats.org/officeDocument/2006/relationships/hyperlink" Target="https://clanpesca.com/prodotto/molix-glide-130-dying/" TargetMode="External"/><Relationship Id="rId449" Type="http://schemas.openxmlformats.org/officeDocument/2006/relationships/hyperlink" Target="https://www.webpesca.it/shop/artificiale-swimbait-molix-glide-bait-f-dying-13-cm-25-gr-whiting/" TargetMode="External"/><Relationship Id="rId450" Type="http://schemas.openxmlformats.org/officeDocument/2006/relationships/hyperlink" Target="https://clanpesca.com/prodotto/molix-glide-130-dying/" TargetMode="External"/><Relationship Id="rId451" Type="http://schemas.openxmlformats.org/officeDocument/2006/relationships/hyperlink" Target="https://www.webpesca.it/shop/artificiale-swimbait-molix-glide-bait-floating-13-cm-28-ghost-ayu/" TargetMode="External"/><Relationship Id="rId452" Type="http://schemas.openxmlformats.org/officeDocument/2006/relationships/hyperlink" Target="https://clanpesca.com/prodotto/molix-glide-bait-130-floating/" TargetMode="External"/><Relationship Id="rId453" Type="http://schemas.openxmlformats.org/officeDocument/2006/relationships/hyperlink" Target="https://pescapromo.it/t/swimbaits/molix-glide-bait-130-slow-sinking-swimbait-13cm-30g" TargetMode="External"/><Relationship Id="rId454" Type="http://schemas.openxmlformats.org/officeDocument/2006/relationships/hyperlink" Target="https://clanpesca.com/prodotto/molix-glide-bait-130-slow-sinking/" TargetMode="External"/><Relationship Id="rId455" Type="http://schemas.openxmlformats.org/officeDocument/2006/relationships/hyperlink" Target="https://www.webpesca.it/shop/artificiale-swimbait-molix-glide-bait-floating-13-cm-28-ghost-ayu/" TargetMode="External"/><Relationship Id="rId456" Type="http://schemas.openxmlformats.org/officeDocument/2006/relationships/hyperlink" Target="https://clanpesca.com/prodotto/molix-glide-bait-140-floating/" TargetMode="External"/><Relationship Id="rId457" Type="http://schemas.openxmlformats.org/officeDocument/2006/relationships/hyperlink" Target="https://www.webpesca.it/shop/artificiale-swimbait-molix-glide-bait-lip-floating-17-8-cm-73-gr-live-carp/" TargetMode="External"/><Relationship Id="rId458" Type="http://schemas.openxmlformats.org/officeDocument/2006/relationships/hyperlink" Target="https://clanpesca.com/prodotto/molix-glide-bait-140-floating-lip/" TargetMode="External"/><Relationship Id="rId459" Type="http://schemas.openxmlformats.org/officeDocument/2006/relationships/hyperlink" Target="https://pescapromo.it/t/swimbaits/molix-glide-bait-130-slow-sinking-swimbait-13cm-30g" TargetMode="External"/><Relationship Id="rId460" Type="http://schemas.openxmlformats.org/officeDocument/2006/relationships/hyperlink" Target="https://clanpesca.com/prodotto/molix-glide-bait-140-slow-sinking-cm-14-gr-68/" TargetMode="External"/><Relationship Id="rId461" Type="http://schemas.openxmlformats.org/officeDocument/2006/relationships/hyperlink" Target="https://www.webpesca.it/shop/artificiale-swimbait-molix-glide-bait-floating-13-cm-28-ghost-ayu/" TargetMode="External"/><Relationship Id="rId462" Type="http://schemas.openxmlformats.org/officeDocument/2006/relationships/hyperlink" Target="https://clanpesca.com/prodotto/molix-glide-bait-178-floating/" TargetMode="External"/><Relationship Id="rId463" Type="http://schemas.openxmlformats.org/officeDocument/2006/relationships/hyperlink" Target="https://pescapromo.it/t/swimbaits/molix-glide-bait-178-slow-sinking" TargetMode="External"/><Relationship Id="rId464" Type="http://schemas.openxmlformats.org/officeDocument/2006/relationships/hyperlink" Target="https://clanpesca.com/prodotto/molix-glide-bait-178-slow-sinking/" TargetMode="External"/><Relationship Id="rId465" Type="http://schemas.openxmlformats.org/officeDocument/2006/relationships/hyperlink" Target="https://escaepescashop.it/prodotto/molix-glide-bait-90-ss/" TargetMode="External"/><Relationship Id="rId466" Type="http://schemas.openxmlformats.org/officeDocument/2006/relationships/hyperlink" Target="https://clanpesca.com/prodotto/molix-glide-bait-90-ss-cm-9-gr-12-5/" TargetMode="External"/><Relationship Id="rId467" Type="http://schemas.openxmlformats.org/officeDocument/2006/relationships/hyperlink" Target="https://www.webpesca.it/shop/artificiale-swimbait-molix-glide-bait-ss-17-8-cm-73-gr-mx-blue/" TargetMode="External"/><Relationship Id="rId468" Type="http://schemas.openxmlformats.org/officeDocument/2006/relationships/hyperlink" Target="https://clanpesca.com/prodotto/molix-glide-bait-90-ss-cm-9-gr-12-5/" TargetMode="External"/><Relationship Id="rId469" Type="http://schemas.openxmlformats.org/officeDocument/2006/relationships/hyperlink" Target="https://bassstoreitaly.com/it/molix-hybrid-swimmer-165" TargetMode="External"/><Relationship Id="rId470" Type="http://schemas.openxmlformats.org/officeDocument/2006/relationships/hyperlink" Target="https://clanpesca.com/prodotto/molix-hybrid-swimmer-165/" TargetMode="External"/><Relationship Id="rId471" Type="http://schemas.openxmlformats.org/officeDocument/2006/relationships/hyperlink" Target="https://www.webpesca.it/shop/artificiale-shad-molix-hybrid-swimmer-16-5-cm-70-gr-chartreuse/" TargetMode="External"/><Relationship Id="rId472" Type="http://schemas.openxmlformats.org/officeDocument/2006/relationships/hyperlink" Target="https://clanpesca.com/prodotto/molix-hybrid-swimmer-165/" TargetMode="External"/><Relationship Id="rId473" Type="http://schemas.openxmlformats.org/officeDocument/2006/relationships/hyperlink" Target="https://bassstoreitaly.com/it/molix-hyper-split-ring" TargetMode="External"/><Relationship Id="rId474" Type="http://schemas.openxmlformats.org/officeDocument/2006/relationships/hyperlink" Target="https://clanpesca.com/prodotto/molix-hyper-split-ring/" TargetMode="External"/><Relationship Id="rId475" Type="http://schemas.openxmlformats.org/officeDocument/2006/relationships/hyperlink" Target="https://bassstoreitaly.com/it/molix-tungsten-insert-2" TargetMode="External"/><Relationship Id="rId476" Type="http://schemas.openxmlformats.org/officeDocument/2006/relationships/hyperlink" Target="https://clanpesca.com/prodotto/molix-insert-tungsten/" TargetMode="External"/><Relationship Id="rId477" Type="http://schemas.openxmlformats.org/officeDocument/2006/relationships/hyperlink" Target="https://bassstoreitaly.com/it/molix-jig-blades" TargetMode="External"/><Relationship Id="rId478" Type="http://schemas.openxmlformats.org/officeDocument/2006/relationships/hyperlink" Target="https://clanpesca.com/prodotto/molix-jig-blades/" TargetMode="External"/><Relationship Id="rId479" Type="http://schemas.openxmlformats.org/officeDocument/2006/relationships/hyperlink" Target="https://bassstoreitaly.com/it/molix-jubarino-" TargetMode="External"/><Relationship Id="rId480" Type="http://schemas.openxmlformats.org/officeDocument/2006/relationships/hyperlink" Target="https://clanpesca.com/prodotto/molix-jubarino-cm-5-gr-2-5/" TargetMode="External"/><Relationship Id="rId481" Type="http://schemas.openxmlformats.org/officeDocument/2006/relationships/hyperlink" Target="https://escaepescashop.it/prodotto/molix-jubarino/" TargetMode="External"/><Relationship Id="rId482" Type="http://schemas.openxmlformats.org/officeDocument/2006/relationships/hyperlink" Target="https://clanpesca.com/prodotto/molix-jubarino-cm-5-gr-2-5/" TargetMode="External"/><Relationship Id="rId483" Type="http://schemas.openxmlformats.org/officeDocument/2006/relationships/hyperlink" Target="https://www.webpesca.it/shop/artificiale-jerkbait-molix-jubarino-5-cm-2-5-gr-chart-black/" TargetMode="External"/><Relationship Id="rId484" Type="http://schemas.openxmlformats.org/officeDocument/2006/relationships/hyperlink" Target="https://clanpesca.com/prodotto/molix-jubarino-cm-5-gr-2-5/" TargetMode="External"/><Relationship Id="rId485" Type="http://schemas.openxmlformats.org/officeDocument/2006/relationships/hyperlink" Target="https://bassstoreitaly.com/it/molix-jugulo-wide-casting-jig" TargetMode="External"/><Relationship Id="rId486" Type="http://schemas.openxmlformats.org/officeDocument/2006/relationships/hyperlink" Target="https://clanpesca.com/prodotto/molix-jugulo-casting-jig-gr-40/" TargetMode="External"/><Relationship Id="rId487" Type="http://schemas.openxmlformats.org/officeDocument/2006/relationships/hyperlink" Target="https://escaepescashop.it/prodotto/molix-jugulo-casting-jig/" TargetMode="External"/><Relationship Id="rId488" Type="http://schemas.openxmlformats.org/officeDocument/2006/relationships/hyperlink" Target="https://clanpesca.com/prodotto/molix-jugulo-casting-jig-gr-40/" TargetMode="External"/><Relationship Id="rId489" Type="http://schemas.openxmlformats.org/officeDocument/2006/relationships/hyperlink" Target="https://www.megafish.it/jig/5872-molix-jugulo-wide-jig.html" TargetMode="External"/><Relationship Id="rId490" Type="http://schemas.openxmlformats.org/officeDocument/2006/relationships/hyperlink" Target="https://clanpesca.com/prodotto/molix-jugulo-casting-jig-gr-40/" TargetMode="External"/><Relationship Id="rId491" Type="http://schemas.openxmlformats.org/officeDocument/2006/relationships/hyperlink" Target="https://www.webpesca.it/shop/artificiale-metal-jig-molix-jugulo-wide-casting-7-cm-40-gr-dorado/" TargetMode="External"/><Relationship Id="rId492" Type="http://schemas.openxmlformats.org/officeDocument/2006/relationships/hyperlink" Target="https://clanpesca.com/prodotto/molix-jugulo-casting-jig-gr-40/" TargetMode="External"/><Relationship Id="rId493" Type="http://schemas.openxmlformats.org/officeDocument/2006/relationships/hyperlink" Target="https://bassstoreitaly.com/it/molix-jugulo-wide-casting-jig" TargetMode="External"/><Relationship Id="rId494" Type="http://schemas.openxmlformats.org/officeDocument/2006/relationships/hyperlink" Target="https://clanpesca.com/prodotto/molix-jugulo-casting-jig-gr-15/" TargetMode="External"/><Relationship Id="rId495" Type="http://schemas.openxmlformats.org/officeDocument/2006/relationships/hyperlink" Target="https://escaepescashop.it/prodotto/molix-jugulo-casting-jig/" TargetMode="External"/><Relationship Id="rId496" Type="http://schemas.openxmlformats.org/officeDocument/2006/relationships/hyperlink" Target="https://clanpesca.com/prodotto/molix-jugulo-casting-jig-gr-15/" TargetMode="External"/><Relationship Id="rId497" Type="http://schemas.openxmlformats.org/officeDocument/2006/relationships/hyperlink" Target="https://www.megafish.it/jig/5872-molix-jugulo-wide-jig.html" TargetMode="External"/><Relationship Id="rId498" Type="http://schemas.openxmlformats.org/officeDocument/2006/relationships/hyperlink" Target="https://clanpesca.com/prodotto/molix-jugulo-casting-jig-gr-15/" TargetMode="External"/><Relationship Id="rId499" Type="http://schemas.openxmlformats.org/officeDocument/2006/relationships/hyperlink" Target="https://www.webpesca.it/shop/artificiale-shad-molix-jugulo-jig-head-15-gr-sarda/" TargetMode="External"/><Relationship Id="rId500" Type="http://schemas.openxmlformats.org/officeDocument/2006/relationships/hyperlink" Target="https://clanpesca.com/prodotto/molix-jugulo-casting-jig-gr-15/" TargetMode="External"/><Relationship Id="rId501" Type="http://schemas.openxmlformats.org/officeDocument/2006/relationships/hyperlink" Target="https://bassstoreitaly.com/it/molix-jugulo-wide-casting-jig" TargetMode="External"/><Relationship Id="rId502" Type="http://schemas.openxmlformats.org/officeDocument/2006/relationships/hyperlink" Target="https://clanpesca.com/prodotto/molix-jugulo-casting-jig-gr-20/" TargetMode="External"/><Relationship Id="rId503" Type="http://schemas.openxmlformats.org/officeDocument/2006/relationships/hyperlink" Target="https://escaepescashop.it/prodotto/molix-jugulo-casting-jig/" TargetMode="External"/><Relationship Id="rId504" Type="http://schemas.openxmlformats.org/officeDocument/2006/relationships/hyperlink" Target="https://clanpesca.com/prodotto/molix-jugulo-casting-jig-gr-20/" TargetMode="External"/><Relationship Id="rId505" Type="http://schemas.openxmlformats.org/officeDocument/2006/relationships/hyperlink" Target="https://www.megafish.it/jig/5872-molix-jugulo-wide-jig.html" TargetMode="External"/><Relationship Id="rId506" Type="http://schemas.openxmlformats.org/officeDocument/2006/relationships/hyperlink" Target="https://clanpesca.com/prodotto/molix-jugulo-casting-jig-gr-20/" TargetMode="External"/><Relationship Id="rId507" Type="http://schemas.openxmlformats.org/officeDocument/2006/relationships/hyperlink" Target="https://www.webpesca.it/shop/artificiale-metal-jig-molix-jugulo-plus-casting-7-cm-20-gr-mx-holo/" TargetMode="External"/><Relationship Id="rId508" Type="http://schemas.openxmlformats.org/officeDocument/2006/relationships/hyperlink" Target="https://clanpesca.com/prodotto/molix-jugulo-casting-jig-gr-20/" TargetMode="External"/><Relationship Id="rId509" Type="http://schemas.openxmlformats.org/officeDocument/2006/relationships/hyperlink" Target="https://bassstoreitaly.com/it/molix-jugulo-wide-casting-jig" TargetMode="External"/><Relationship Id="rId510" Type="http://schemas.openxmlformats.org/officeDocument/2006/relationships/hyperlink" Target="https://clanpesca.com/prodotto/molix-jugulo-casting-jig-gr-25/" TargetMode="External"/><Relationship Id="rId511" Type="http://schemas.openxmlformats.org/officeDocument/2006/relationships/hyperlink" Target="https://escaepescashop.it/prodotto/molix-jugulo-casting-jig/" TargetMode="External"/><Relationship Id="rId512" Type="http://schemas.openxmlformats.org/officeDocument/2006/relationships/hyperlink" Target="https://clanpesca.com/prodotto/molix-jugulo-casting-jig-gr-25/" TargetMode="External"/><Relationship Id="rId513" Type="http://schemas.openxmlformats.org/officeDocument/2006/relationships/hyperlink" Target="https://www.megafish.it/jig/5872-molix-jugulo-wide-jig.html" TargetMode="External"/><Relationship Id="rId514" Type="http://schemas.openxmlformats.org/officeDocument/2006/relationships/hyperlink" Target="https://clanpesca.com/prodotto/molix-jugulo-casting-jig-gr-25/" TargetMode="External"/><Relationship Id="rId515" Type="http://schemas.openxmlformats.org/officeDocument/2006/relationships/hyperlink" Target="https://www.webpesca.it/shop/artificiale-shad-molix-jugulo-jig-head-25-gr-pink-sarda/" TargetMode="External"/><Relationship Id="rId516" Type="http://schemas.openxmlformats.org/officeDocument/2006/relationships/hyperlink" Target="https://clanpesca.com/prodotto/molix-jugulo-casting-jig-gr-25/" TargetMode="External"/><Relationship Id="rId517" Type="http://schemas.openxmlformats.org/officeDocument/2006/relationships/hyperlink" Target="https://bassstoreitaly.com/it/molix-jugulo-wide-casting-jig" TargetMode="External"/><Relationship Id="rId518" Type="http://schemas.openxmlformats.org/officeDocument/2006/relationships/hyperlink" Target="https://clanpesca.com/prodotto/molix-jugulo-casting-jig-gr-30/" TargetMode="External"/><Relationship Id="rId519" Type="http://schemas.openxmlformats.org/officeDocument/2006/relationships/hyperlink" Target="https://escaepescashop.it/prodotto/molix-jugulo-casting-jig/" TargetMode="External"/><Relationship Id="rId520" Type="http://schemas.openxmlformats.org/officeDocument/2006/relationships/hyperlink" Target="https://clanpesca.com/prodotto/molix-jugulo-casting-jig-gr-30/" TargetMode="External"/><Relationship Id="rId521" Type="http://schemas.openxmlformats.org/officeDocument/2006/relationships/hyperlink" Target="https://www.megafish.it/jig/5872-molix-jugulo-wide-jig.html" TargetMode="External"/><Relationship Id="rId522" Type="http://schemas.openxmlformats.org/officeDocument/2006/relationships/hyperlink" Target="https://clanpesca.com/prodotto/molix-jugulo-casting-jig-gr-30/" TargetMode="External"/><Relationship Id="rId523" Type="http://schemas.openxmlformats.org/officeDocument/2006/relationships/hyperlink" Target="https://www.webpesca.it/shop/artificiale-metal-jig-molix-jugulo-casting-jig-8-cm-30-gr-alborella/" TargetMode="External"/><Relationship Id="rId524" Type="http://schemas.openxmlformats.org/officeDocument/2006/relationships/hyperlink" Target="https://clanpesca.com/prodotto/molix-jugulo-casting-jig-gr-30/" TargetMode="External"/><Relationship Id="rId525" Type="http://schemas.openxmlformats.org/officeDocument/2006/relationships/hyperlink" Target="https://bassstoreitaly.com/it/molix-jugulo-plus-casting-jig" TargetMode="External"/><Relationship Id="rId526" Type="http://schemas.openxmlformats.org/officeDocument/2006/relationships/hyperlink" Target="https://clanpesca.com/prodotto/molix-jugulo-plus-casting-jig-gr-10/" TargetMode="External"/><Relationship Id="rId527" Type="http://schemas.openxmlformats.org/officeDocument/2006/relationships/hyperlink" Target="https://www.webpesca.it/shop/artificiale-metal-jig-molix-jugulo-plus-casting-5-7-cm-10-gr-mx-holo/" TargetMode="External"/><Relationship Id="rId528" Type="http://schemas.openxmlformats.org/officeDocument/2006/relationships/hyperlink" Target="https://clanpesca.com/prodotto/molix-jugulo-plus-casting-jig-gr-10/" TargetMode="External"/><Relationship Id="rId529" Type="http://schemas.openxmlformats.org/officeDocument/2006/relationships/hyperlink" Target="https://bassstoreitaly.com/it/molix-jugulo-plus-casting-jig" TargetMode="External"/><Relationship Id="rId530" Type="http://schemas.openxmlformats.org/officeDocument/2006/relationships/hyperlink" Target="https://clanpesca.com/prodotto/molix-jugulo-plus-casting-jig-gr-20/" TargetMode="External"/><Relationship Id="rId531" Type="http://schemas.openxmlformats.org/officeDocument/2006/relationships/hyperlink" Target="https://www.webpesca.it/shop/artificiale-metal-jig-molix-jugulo-plus-casting-7-cm-20-gr-mx-holo/" TargetMode="External"/><Relationship Id="rId532" Type="http://schemas.openxmlformats.org/officeDocument/2006/relationships/hyperlink" Target="https://clanpesca.com/prodotto/molix-jugulo-plus-casting-jig-gr-20/" TargetMode="External"/><Relationship Id="rId533" Type="http://schemas.openxmlformats.org/officeDocument/2006/relationships/hyperlink" Target="https://bassstoreitaly.com/it/molix-jugulo-plus-casting-jig" TargetMode="External"/><Relationship Id="rId534" Type="http://schemas.openxmlformats.org/officeDocument/2006/relationships/hyperlink" Target="https://clanpesca.com/prodotto/molix-jugulo-plus-casting-jig-gr-30/" TargetMode="External"/><Relationship Id="rId535" Type="http://schemas.openxmlformats.org/officeDocument/2006/relationships/hyperlink" Target="https://www.webpesca.it/shop/artificiale-metal-jig-molix-jugulo-plus-casting-8-cm-30-gr-crazy-pink/" TargetMode="External"/><Relationship Id="rId536" Type="http://schemas.openxmlformats.org/officeDocument/2006/relationships/hyperlink" Target="https://clanpesca.com/prodotto/molix-jugulo-plus-casting-jig-gr-30/" TargetMode="External"/><Relationship Id="rId537" Type="http://schemas.openxmlformats.org/officeDocument/2006/relationships/hyperlink" Target="https://bassstoreitaly.com/it/molix-jugulo-plus-casting-jig" TargetMode="External"/><Relationship Id="rId538" Type="http://schemas.openxmlformats.org/officeDocument/2006/relationships/hyperlink" Target="https://clanpesca.com/prodotto/molix-jugulo-plus-casting-jig-gr-40/" TargetMode="External"/><Relationship Id="rId539" Type="http://schemas.openxmlformats.org/officeDocument/2006/relationships/hyperlink" Target="https://www.webpesca.it/shop/artificiale-metal-jig-molix-jugulo-plus-casting-9-cm-40-gr-crazy-pink/" TargetMode="External"/><Relationship Id="rId540" Type="http://schemas.openxmlformats.org/officeDocument/2006/relationships/hyperlink" Target="https://clanpesca.com/prodotto/molix-jugulo-plus-casting-jig-gr-40/" TargetMode="External"/><Relationship Id="rId541" Type="http://schemas.openxmlformats.org/officeDocument/2006/relationships/hyperlink" Target="https://bassstoreitaly.com/it/molix-jugulo-plus-casting-jig" TargetMode="External"/><Relationship Id="rId542" Type="http://schemas.openxmlformats.org/officeDocument/2006/relationships/hyperlink" Target="https://clanpesca.com/prodotto/molix-jugulo-plus-casting-jig-gr-60/" TargetMode="External"/><Relationship Id="rId543" Type="http://schemas.openxmlformats.org/officeDocument/2006/relationships/hyperlink" Target="https://www.webpesca.it/shop/artificiale-metal-jig-molix-jugulo-plus-casting-10-5-cm-60-gr-crazy-pink/" TargetMode="External"/><Relationship Id="rId544" Type="http://schemas.openxmlformats.org/officeDocument/2006/relationships/hyperlink" Target="https://clanpesca.com/prodotto/molix-jugulo-plus-casting-jig-gr-60/" TargetMode="External"/><Relationship Id="rId545" Type="http://schemas.openxmlformats.org/officeDocument/2006/relationships/hyperlink" Target="https://bassstoreitaly.com/it/molix-jugulo-plus-casting-jig" TargetMode="External"/><Relationship Id="rId546" Type="http://schemas.openxmlformats.org/officeDocument/2006/relationships/hyperlink" Target="https://clanpesca.com/prodotto/molix-jugulo-plus-casting-jig-gr-80/" TargetMode="External"/><Relationship Id="rId547" Type="http://schemas.openxmlformats.org/officeDocument/2006/relationships/hyperlink" Target="https://www.webpesca.it/shop/artificiale-metal-jig-molix-jugulo-plus-casting-7-cm-20-gr-mx-holo/" TargetMode="External"/><Relationship Id="rId548" Type="http://schemas.openxmlformats.org/officeDocument/2006/relationships/hyperlink" Target="https://clanpesca.com/prodotto/molix-jugulo-plus-casting-jig-gr-80/" TargetMode="External"/><Relationship Id="rId549" Type="http://schemas.openxmlformats.org/officeDocument/2006/relationships/hyperlink" Target="https://bassstoreitaly.com/it/molix-jugulo-wide-casting-jig" TargetMode="External"/><Relationship Id="rId550" Type="http://schemas.openxmlformats.org/officeDocument/2006/relationships/hyperlink" Target="https://clanpesca.com/prodotto/molix-jugulo-wide-casting-jig-gr-10/" TargetMode="External"/><Relationship Id="rId551" Type="http://schemas.openxmlformats.org/officeDocument/2006/relationships/hyperlink" Target="https://www.megafish.it/jig/5872-molix-jugulo-wide-jig.html" TargetMode="External"/><Relationship Id="rId552" Type="http://schemas.openxmlformats.org/officeDocument/2006/relationships/hyperlink" Target="https://clanpesca.com/prodotto/molix-jugulo-wide-casting-jig-gr-10/" TargetMode="External"/><Relationship Id="rId553" Type="http://schemas.openxmlformats.org/officeDocument/2006/relationships/hyperlink" Target="https://www.webpesca.it/shop/artificiale-metal-jig-molix-jugulo-wide-casting-4-5-cm-10-gr-mx-holo/" TargetMode="External"/><Relationship Id="rId554" Type="http://schemas.openxmlformats.org/officeDocument/2006/relationships/hyperlink" Target="https://clanpesca.com/prodotto/molix-jugulo-wide-casting-jig-gr-10/" TargetMode="External"/><Relationship Id="rId555" Type="http://schemas.openxmlformats.org/officeDocument/2006/relationships/hyperlink" Target="https://bassstoreitaly.com/it/molix-jugulo-wide-casting-jig" TargetMode="External"/><Relationship Id="rId556" Type="http://schemas.openxmlformats.org/officeDocument/2006/relationships/hyperlink" Target="https://clanpesca.com/prodotto/molix-jugulo-wide-casting-jig-gr-30/" TargetMode="External"/><Relationship Id="rId557" Type="http://schemas.openxmlformats.org/officeDocument/2006/relationships/hyperlink" Target="https://www.megafish.it/jig/5872-molix-jugulo-wide-jig.html" TargetMode="External"/><Relationship Id="rId558" Type="http://schemas.openxmlformats.org/officeDocument/2006/relationships/hyperlink" Target="https://clanpesca.com/prodotto/molix-jugulo-wide-casting-jig-gr-30/" TargetMode="External"/><Relationship Id="rId559" Type="http://schemas.openxmlformats.org/officeDocument/2006/relationships/hyperlink" Target="https://www.webpesca.it/shop/artificiale-metal-jig-molix-jugulo-wide-casting-6-5-cm-30-gr-fb-goby/" TargetMode="External"/><Relationship Id="rId560" Type="http://schemas.openxmlformats.org/officeDocument/2006/relationships/hyperlink" Target="https://clanpesca.com/prodotto/molix-jugulo-wide-casting-jig-gr-30/" TargetMode="External"/><Relationship Id="rId561" Type="http://schemas.openxmlformats.org/officeDocument/2006/relationships/hyperlink" Target="https://bassstoreitaly.com/it/molix-jugulo-wide-casting-jig" TargetMode="External"/><Relationship Id="rId562" Type="http://schemas.openxmlformats.org/officeDocument/2006/relationships/hyperlink" Target="https://clanpesca.com/prodotto/molix-jugulo-wide-casting-jig-gr-60/" TargetMode="External"/><Relationship Id="rId563" Type="http://schemas.openxmlformats.org/officeDocument/2006/relationships/hyperlink" Target="https://www.megafish.it/jig/5872-molix-jugulo-wide-jig.html" TargetMode="External"/><Relationship Id="rId564" Type="http://schemas.openxmlformats.org/officeDocument/2006/relationships/hyperlink" Target="https://clanpesca.com/prodotto/molix-jugulo-wide-casting-jig-gr-60/" TargetMode="External"/><Relationship Id="rId565" Type="http://schemas.openxmlformats.org/officeDocument/2006/relationships/hyperlink" Target="https://www.webpesca.it/shop/artificiale-metal-jig-molix-jugulo-wide-casting-8-cm-60-gr-latterino/" TargetMode="External"/><Relationship Id="rId566" Type="http://schemas.openxmlformats.org/officeDocument/2006/relationships/hyperlink" Target="https://clanpesca.com/prodotto/molix-jugulo-wide-casting-jig-gr-60/" TargetMode="External"/><Relationship Id="rId567" Type="http://schemas.openxmlformats.org/officeDocument/2006/relationships/hyperlink" Target="https://bassstoreitaly.com/it/molix-jugulo-wide-casting-jig" TargetMode="External"/><Relationship Id="rId568" Type="http://schemas.openxmlformats.org/officeDocument/2006/relationships/hyperlink" Target="https://clanpesca.com/prodotto/molix-jugulo-wide-casting-jig-gr-7/" TargetMode="External"/><Relationship Id="rId569" Type="http://schemas.openxmlformats.org/officeDocument/2006/relationships/hyperlink" Target="https://www.megafish.it/jig/5872-molix-jugulo-wide-jig.html" TargetMode="External"/><Relationship Id="rId570" Type="http://schemas.openxmlformats.org/officeDocument/2006/relationships/hyperlink" Target="https://clanpesca.com/prodotto/molix-jugulo-wide-casting-jig-gr-7/" TargetMode="External"/><Relationship Id="rId571" Type="http://schemas.openxmlformats.org/officeDocument/2006/relationships/hyperlink" Target="https://www.webpesca.it/shop/artificiale-metal-jig-molix-jugulo-wide-casting-4-cm-7-gr-fb-goby/" TargetMode="External"/><Relationship Id="rId572" Type="http://schemas.openxmlformats.org/officeDocument/2006/relationships/hyperlink" Target="https://clanpesca.com/prodotto/molix-jugulo-wide-casting-jig-gr-7/" TargetMode="External"/><Relationship Id="rId573" Type="http://schemas.openxmlformats.org/officeDocument/2006/relationships/hyperlink" Target="https://bassstoreitaly.com/it/molix-jugulo-wide-casting-jig" TargetMode="External"/><Relationship Id="rId574" Type="http://schemas.openxmlformats.org/officeDocument/2006/relationships/hyperlink" Target="https://clanpesca.com/prodotto/molix-jugulo-wide-casting-jig-gr-20/" TargetMode="External"/><Relationship Id="rId575" Type="http://schemas.openxmlformats.org/officeDocument/2006/relationships/hyperlink" Target="https://www.megafish.it/jig/5872-molix-jugulo-wide-jig.html" TargetMode="External"/><Relationship Id="rId576" Type="http://schemas.openxmlformats.org/officeDocument/2006/relationships/hyperlink" Target="https://clanpesca.com/prodotto/molix-jugulo-wide-casting-jig-gr-20/" TargetMode="External"/><Relationship Id="rId577" Type="http://schemas.openxmlformats.org/officeDocument/2006/relationships/hyperlink" Target="https://www.webpesca.it/shop/artificiale-metal-jig-molix-jugulo-wide-casting-5-5-cm-20-gr-gt/" TargetMode="External"/><Relationship Id="rId578" Type="http://schemas.openxmlformats.org/officeDocument/2006/relationships/hyperlink" Target="https://clanpesca.com/prodotto/molix-jugulo-wide-casting-jig-gr-20/" TargetMode="External"/><Relationship Id="rId579" Type="http://schemas.openxmlformats.org/officeDocument/2006/relationships/hyperlink" Target="https://bassstoreitaly.com/it/molix-outset-series-casting" TargetMode="External"/><Relationship Id="rId580" Type="http://schemas.openxmlformats.org/officeDocument/2006/relationships/hyperlink" Target="https://clanpesca.com/prodotto/molix-outset-casting-series/" TargetMode="External"/><Relationship Id="rId581" Type="http://schemas.openxmlformats.org/officeDocument/2006/relationships/hyperlink" Target="https://bassstoreitaly.com/it/molix-pop-frog" TargetMode="External"/><Relationship Id="rId582" Type="http://schemas.openxmlformats.org/officeDocument/2006/relationships/hyperlink" Target="https://clanpesca.com/prodotto/molix-pop-frog-cm-6-5-gr-18/" TargetMode="External"/><Relationship Id="rId583" Type="http://schemas.openxmlformats.org/officeDocument/2006/relationships/hyperlink" Target="https://www.webpesca.it/shop/artificiale-rana-molix-pop-frog-6-5-cm-18-gr-pink-poison/" TargetMode="External"/><Relationship Id="rId584" Type="http://schemas.openxmlformats.org/officeDocument/2006/relationships/hyperlink" Target="https://clanpesca.com/prodotto/molix-pop-frog-cm-6-5-gr-18/" TargetMode="External"/><Relationship Id="rId585" Type="http://schemas.openxmlformats.org/officeDocument/2006/relationships/hyperlink" Target="https://bassstoreitaly.com/it/molix-ra-shad-flat" TargetMode="External"/><Relationship Id="rId586" Type="http://schemas.openxmlformats.org/officeDocument/2006/relationships/hyperlink" Target="https://clanpesca.com/prodotto/molix-ra-shad-4-flat/" TargetMode="External"/><Relationship Id="rId587" Type="http://schemas.openxmlformats.org/officeDocument/2006/relationships/hyperlink" Target="https://bassstoreitaly.com/it/molix_rt_fork_flex" TargetMode="External"/><Relationship Id="rId588" Type="http://schemas.openxmlformats.org/officeDocument/2006/relationships/hyperlink" Target="https://clanpesca.com/prodotto/molix-rt-fork-flex-3/" TargetMode="External"/><Relationship Id="rId589" Type="http://schemas.openxmlformats.org/officeDocument/2006/relationships/hyperlink" Target="https://escaepescashop.it/prodotto/molix-rt-fork-flex-3/" TargetMode="External"/><Relationship Id="rId590" Type="http://schemas.openxmlformats.org/officeDocument/2006/relationships/hyperlink" Target="https://clanpesca.com/prodotto/molix-rt-fork-flex-3/" TargetMode="External"/><Relationship Id="rId591" Type="http://schemas.openxmlformats.org/officeDocument/2006/relationships/hyperlink" Target="https://www.webpesca.it/shop/artificiale-stickbait-molix-rt-fork-flex-3-7-5-cm-mixed-color/" TargetMode="External"/><Relationship Id="rId592" Type="http://schemas.openxmlformats.org/officeDocument/2006/relationships/hyperlink" Target="https://clanpesca.com/prodotto/molix-rt-fork-flex-3/" TargetMode="External"/><Relationship Id="rId593" Type="http://schemas.openxmlformats.org/officeDocument/2006/relationships/hyperlink" Target="https://bassstoreitaly.com/it/molix_rt_fork_flex" TargetMode="External"/><Relationship Id="rId594" Type="http://schemas.openxmlformats.org/officeDocument/2006/relationships/hyperlink" Target="https://clanpesca.com/prodotto/molix-rt-fork-flex-4/" TargetMode="External"/><Relationship Id="rId595" Type="http://schemas.openxmlformats.org/officeDocument/2006/relationships/hyperlink" Target="https://escaepescashop.it/prodotto/molix-rt-fork-flex-3/" TargetMode="External"/><Relationship Id="rId596" Type="http://schemas.openxmlformats.org/officeDocument/2006/relationships/hyperlink" Target="https://clanpesca.com/prodotto/molix-rt-fork-flex-4/" TargetMode="External"/><Relationship Id="rId597" Type="http://schemas.openxmlformats.org/officeDocument/2006/relationships/hyperlink" Target="https://www.webpesca.it/shop/artificiale-swimbait-molix-rt-fork-flex-4-10-cm-wakasagi/" TargetMode="External"/><Relationship Id="rId598" Type="http://schemas.openxmlformats.org/officeDocument/2006/relationships/hyperlink" Target="https://clanpesca.com/prodotto/molix-rt-fork-flex-4/" TargetMode="External"/><Relationship Id="rId599" Type="http://schemas.openxmlformats.org/officeDocument/2006/relationships/hyperlink" Target="https://bassstoreitaly.com/it/molix_rt_fork_flex" TargetMode="External"/><Relationship Id="rId600" Type="http://schemas.openxmlformats.org/officeDocument/2006/relationships/hyperlink" Target="https://clanpesca.com/prodotto/molix-rt-fork-flex-5/" TargetMode="External"/><Relationship Id="rId601" Type="http://schemas.openxmlformats.org/officeDocument/2006/relationships/hyperlink" Target="https://escaepescashop.it/prodotto/molix-rt-fork-flex-3/" TargetMode="External"/><Relationship Id="rId602" Type="http://schemas.openxmlformats.org/officeDocument/2006/relationships/hyperlink" Target="https://clanpesca.com/prodotto/molix-rt-fork-flex-5/" TargetMode="External"/><Relationship Id="rId603" Type="http://schemas.openxmlformats.org/officeDocument/2006/relationships/hyperlink" Target="https://www.webpesca.it/shop/artificiale-swimbait-molix-rt-fork-flex-5-12-7-cm-glowing-pink/" TargetMode="External"/><Relationship Id="rId604" Type="http://schemas.openxmlformats.org/officeDocument/2006/relationships/hyperlink" Target="https://clanpesca.com/prodotto/molix-rt-fork-flex-5/" TargetMode="External"/><Relationship Id="rId605" Type="http://schemas.openxmlformats.org/officeDocument/2006/relationships/hyperlink" Target="https://bassstoreitaly.com/it/molix_rt_fork_flex" TargetMode="External"/><Relationship Id="rId606" Type="http://schemas.openxmlformats.org/officeDocument/2006/relationships/hyperlink" Target="https://clanpesca.com/prodotto/molix-rt-fork-flex-6/" TargetMode="External"/><Relationship Id="rId607" Type="http://schemas.openxmlformats.org/officeDocument/2006/relationships/hyperlink" Target="https://escaepescashop.it/prodotto/molix-rt-fork-flex-3/" TargetMode="External"/><Relationship Id="rId608" Type="http://schemas.openxmlformats.org/officeDocument/2006/relationships/hyperlink" Target="https://clanpesca.com/prodotto/molix-rt-fork-flex-6/" TargetMode="External"/><Relationship Id="rId609" Type="http://schemas.openxmlformats.org/officeDocument/2006/relationships/hyperlink" Target="https://www.webpesca.it/shop/artificiale-swimbait-molix-rt-fork-flex-6-15-2-cm-mixed-pack-1/" TargetMode="External"/><Relationship Id="rId610" Type="http://schemas.openxmlformats.org/officeDocument/2006/relationships/hyperlink" Target="https://clanpesca.com/prodotto/molix-rt-fork-flex-6/" TargetMode="External"/><Relationship Id="rId611" Type="http://schemas.openxmlformats.org/officeDocument/2006/relationships/hyperlink" Target="https://bassstoreitaly.com/it/molix-rt-shad" TargetMode="External"/><Relationship Id="rId612" Type="http://schemas.openxmlformats.org/officeDocument/2006/relationships/hyperlink" Target="https://clanpesca.com/prodotto/molix-rt-shad-2-8/" TargetMode="External"/><Relationship Id="rId613" Type="http://schemas.openxmlformats.org/officeDocument/2006/relationships/hyperlink" Target="https://escaepescashop.it/prodotto/molix-rt-shad/" TargetMode="External"/><Relationship Id="rId614" Type="http://schemas.openxmlformats.org/officeDocument/2006/relationships/hyperlink" Target="https://clanpesca.com/prodotto/molix-rt-shad-2-8/" TargetMode="External"/><Relationship Id="rId615" Type="http://schemas.openxmlformats.org/officeDocument/2006/relationships/hyperlink" Target="https://pescapromo.it/t/shads/molix-rt-flip-tail-shad-9-65cm-21g" TargetMode="External"/><Relationship Id="rId616" Type="http://schemas.openxmlformats.org/officeDocument/2006/relationships/hyperlink" Target="https://clanpesca.com/prodotto/molix-rt-shad-2-8/" TargetMode="External"/><Relationship Id="rId617" Type="http://schemas.openxmlformats.org/officeDocument/2006/relationships/hyperlink" Target="https://www.webpesca.it/shop/artificiale-shad-molix-rt-shad-2-8-7-cm-olive/" TargetMode="External"/><Relationship Id="rId618" Type="http://schemas.openxmlformats.org/officeDocument/2006/relationships/hyperlink" Target="https://clanpesca.com/prodotto/molix-rt-shad-2-8/" TargetMode="External"/><Relationship Id="rId619" Type="http://schemas.openxmlformats.org/officeDocument/2006/relationships/hyperlink" Target="https://bassstoreitaly.com/it/molix-rt-shad" TargetMode="External"/><Relationship Id="rId620" Type="http://schemas.openxmlformats.org/officeDocument/2006/relationships/hyperlink" Target="https://clanpesca.com/prodotto/molix-rt-shad-3-5/" TargetMode="External"/><Relationship Id="rId621" Type="http://schemas.openxmlformats.org/officeDocument/2006/relationships/hyperlink" Target="https://escaepescashop.it/prodotto/molix-rt-shad/" TargetMode="External"/><Relationship Id="rId622" Type="http://schemas.openxmlformats.org/officeDocument/2006/relationships/hyperlink" Target="https://clanpesca.com/prodotto/molix-rt-shad-3-5/" TargetMode="External"/><Relationship Id="rId623" Type="http://schemas.openxmlformats.org/officeDocument/2006/relationships/hyperlink" Target="https://pescapromo.it/t/shads/molix-rt-flip-tail-shad-9-65cm-21g" TargetMode="External"/><Relationship Id="rId624" Type="http://schemas.openxmlformats.org/officeDocument/2006/relationships/hyperlink" Target="https://clanpesca.com/prodotto/molix-rt-shad-3-5/" TargetMode="External"/><Relationship Id="rId625" Type="http://schemas.openxmlformats.org/officeDocument/2006/relationships/hyperlink" Target="https://www.webpesca.it/shop/artificiale-shad-molix-rt-shad-3-5-9-cm-vairone/" TargetMode="External"/><Relationship Id="rId626" Type="http://schemas.openxmlformats.org/officeDocument/2006/relationships/hyperlink" Target="https://clanpesca.com/prodotto/molix-rt-shad-3-5/" TargetMode="External"/><Relationship Id="rId627" Type="http://schemas.openxmlformats.org/officeDocument/2006/relationships/hyperlink" Target="https://bassstoreitaly.com/it/molix-rt-shad-slim" TargetMode="External"/><Relationship Id="rId628" Type="http://schemas.openxmlformats.org/officeDocument/2006/relationships/hyperlink" Target="https://clanpesca.com/prodotto/molix-rt-shad-4-slim/" TargetMode="External"/><Relationship Id="rId629" Type="http://schemas.openxmlformats.org/officeDocument/2006/relationships/hyperlink" Target="https://pescapromo.it/t/shads/molix-rt-shad-4-slim-shad-10cm-5-pezzi" TargetMode="External"/><Relationship Id="rId630" Type="http://schemas.openxmlformats.org/officeDocument/2006/relationships/hyperlink" Target="https://clanpesca.com/prodotto/molix-rt-shad-4-slim/" TargetMode="External"/><Relationship Id="rId631" Type="http://schemas.openxmlformats.org/officeDocument/2006/relationships/hyperlink" Target="https://www.webpesca.it/shop/artificiale-shad-molix-rt-shad-slim-4-10-cm-white/" TargetMode="External"/><Relationship Id="rId632" Type="http://schemas.openxmlformats.org/officeDocument/2006/relationships/hyperlink" Target="https://clanpesca.com/prodotto/molix-rt-shad-4-slim/" TargetMode="External"/><Relationship Id="rId633" Type="http://schemas.openxmlformats.org/officeDocument/2006/relationships/hyperlink" Target="https://bassstoreitaly.com/it/molix-rt-shad" TargetMode="External"/><Relationship Id="rId634" Type="http://schemas.openxmlformats.org/officeDocument/2006/relationships/hyperlink" Target="https://clanpesca.com/prodotto/molix-rt-shad-4-5/" TargetMode="External"/><Relationship Id="rId635" Type="http://schemas.openxmlformats.org/officeDocument/2006/relationships/hyperlink" Target="https://escaepescashop.it/prodotto/molix-rt-shad/" TargetMode="External"/><Relationship Id="rId636" Type="http://schemas.openxmlformats.org/officeDocument/2006/relationships/hyperlink" Target="https://clanpesca.com/prodotto/molix-rt-shad-4-5/" TargetMode="External"/><Relationship Id="rId637" Type="http://schemas.openxmlformats.org/officeDocument/2006/relationships/hyperlink" Target="https://pescapromo.it/t/shads/molix-rt-flip-tail-shad-9-65cm-21g" TargetMode="External"/><Relationship Id="rId638" Type="http://schemas.openxmlformats.org/officeDocument/2006/relationships/hyperlink" Target="https://clanpesca.com/prodotto/molix-rt-shad-4-5/" TargetMode="External"/><Relationship Id="rId639" Type="http://schemas.openxmlformats.org/officeDocument/2006/relationships/hyperlink" Target="https://www.webpesca.it/shop/artificiale-shad-molix-rt-shad-4-5-11-4-cm-olive/" TargetMode="External"/><Relationship Id="rId640" Type="http://schemas.openxmlformats.org/officeDocument/2006/relationships/hyperlink" Target="https://clanpesca.com/prodotto/molix-rt-shad-4-5/" TargetMode="External"/><Relationship Id="rId641" Type="http://schemas.openxmlformats.org/officeDocument/2006/relationships/hyperlink" Target="https://bassstoreitaly.com/it/molix-rt-shad-bulk" TargetMode="External"/><Relationship Id="rId642" Type="http://schemas.openxmlformats.org/officeDocument/2006/relationships/hyperlink" Target="https://clanpesca.com/prodotto/molix-rt-shad-5-5/" TargetMode="External"/><Relationship Id="rId643" Type="http://schemas.openxmlformats.org/officeDocument/2006/relationships/hyperlink" Target="https://escaepescashop.it/prodotto/molix-rt-shad/" TargetMode="External"/><Relationship Id="rId644" Type="http://schemas.openxmlformats.org/officeDocument/2006/relationships/hyperlink" Target="https://clanpesca.com/prodotto/molix-rt-shad-5-5/" TargetMode="External"/><Relationship Id="rId645" Type="http://schemas.openxmlformats.org/officeDocument/2006/relationships/hyperlink" Target="https://pescapromo.it/t/shads/molix-rt-flip-tail-shad-9-65cm-21g" TargetMode="External"/><Relationship Id="rId646" Type="http://schemas.openxmlformats.org/officeDocument/2006/relationships/hyperlink" Target="https://clanpesca.com/prodotto/molix-rt-shad-5-5/" TargetMode="External"/><Relationship Id="rId647" Type="http://schemas.openxmlformats.org/officeDocument/2006/relationships/hyperlink" Target="https://www.webpesca.it/shop/artificiale-shad-molix-rt-shad-7-18-cm-rudd/" TargetMode="External"/><Relationship Id="rId648" Type="http://schemas.openxmlformats.org/officeDocument/2006/relationships/hyperlink" Target="https://clanpesca.com/prodotto/molix-rt-shad-5-5/" TargetMode="External"/><Relationship Id="rId649" Type="http://schemas.openxmlformats.org/officeDocument/2006/relationships/hyperlink" Target="https://bassstoreitaly.com/it/molix-rt-shad-bulk" TargetMode="External"/><Relationship Id="rId650" Type="http://schemas.openxmlformats.org/officeDocument/2006/relationships/hyperlink" Target="https://clanpesca.com/prodotto/molix-rt-shad-7/" TargetMode="External"/><Relationship Id="rId651" Type="http://schemas.openxmlformats.org/officeDocument/2006/relationships/hyperlink" Target="https://escaepescashop.it/prodotto/molix-rt-shad/" TargetMode="External"/><Relationship Id="rId652" Type="http://schemas.openxmlformats.org/officeDocument/2006/relationships/hyperlink" Target="https://clanpesca.com/prodotto/molix-rt-shad-7/" TargetMode="External"/><Relationship Id="rId653" Type="http://schemas.openxmlformats.org/officeDocument/2006/relationships/hyperlink" Target="https://pescapromo.it/t/shads/molix-rt-flip-tail-shad-9-65cm-21g" TargetMode="External"/><Relationship Id="rId654" Type="http://schemas.openxmlformats.org/officeDocument/2006/relationships/hyperlink" Target="https://clanpesca.com/prodotto/molix-rt-shad-7/" TargetMode="External"/><Relationship Id="rId655" Type="http://schemas.openxmlformats.org/officeDocument/2006/relationships/hyperlink" Target="https://www.webpesca.it/shop/artificiale-shad-molix-rt-shad-7-18-cm-green-shimmering/" TargetMode="External"/><Relationship Id="rId656" Type="http://schemas.openxmlformats.org/officeDocument/2006/relationships/hyperlink" Target="https://clanpesca.com/prodotto/molix-rt-shad-7/" TargetMode="External"/><Relationship Id="rId657" Type="http://schemas.openxmlformats.org/officeDocument/2006/relationships/hyperlink" Target="https://bassstoreitaly.com/it/molix-ra-grub-6" TargetMode="External"/><Relationship Id="rId658" Type="http://schemas.openxmlformats.org/officeDocument/2006/relationships/hyperlink" Target="https://clanpesca.com/prodotto/molix-ra-grub-6/" TargetMode="External"/><Relationship Id="rId659" Type="http://schemas.openxmlformats.org/officeDocument/2006/relationships/hyperlink" Target="https://bassstoreitaly.com/it/molix-ra-shad" TargetMode="External"/><Relationship Id="rId660" Type="http://schemas.openxmlformats.org/officeDocument/2006/relationships/hyperlink" Target="https://clanpesca.com/prodotto/molix-ra-shad-2/" TargetMode="External"/><Relationship Id="rId661" Type="http://schemas.openxmlformats.org/officeDocument/2006/relationships/hyperlink" Target="https://escaepescashop.it/prodotto/molix-ra-shad-2/" TargetMode="External"/><Relationship Id="rId662" Type="http://schemas.openxmlformats.org/officeDocument/2006/relationships/hyperlink" Target="https://clanpesca.com/prodotto/molix-ra-shad-2/" TargetMode="External"/><Relationship Id="rId663" Type="http://schemas.openxmlformats.org/officeDocument/2006/relationships/hyperlink" Target="https://www.webpesca.it/shop/artificiale-shad-molix-ra-shad-2-5-cm-citrus/" TargetMode="External"/><Relationship Id="rId664" Type="http://schemas.openxmlformats.org/officeDocument/2006/relationships/hyperlink" Target="https://clanpesca.com/prodotto/molix-ra-shad-2/" TargetMode="External"/><Relationship Id="rId665" Type="http://schemas.openxmlformats.org/officeDocument/2006/relationships/hyperlink" Target="https://bassstoreitaly.com/it/molix-ra-shad" TargetMode="External"/><Relationship Id="rId666" Type="http://schemas.openxmlformats.org/officeDocument/2006/relationships/hyperlink" Target="https://clanpesca.com/prodotto/molix-ra-shad-2-5/" TargetMode="External"/><Relationship Id="rId667" Type="http://schemas.openxmlformats.org/officeDocument/2006/relationships/hyperlink" Target="https://escaepescashop.it/prodotto/molix-ra-shad-25/" TargetMode="External"/><Relationship Id="rId668" Type="http://schemas.openxmlformats.org/officeDocument/2006/relationships/hyperlink" Target="https://clanpesca.com/prodotto/molix-ra-shad-2-5/" TargetMode="External"/><Relationship Id="rId669" Type="http://schemas.openxmlformats.org/officeDocument/2006/relationships/hyperlink" Target="https://www.webpesca.it/shop/artificiale-shad-molix-ra-shad-2-5-cm-citrus/" TargetMode="External"/><Relationship Id="rId670" Type="http://schemas.openxmlformats.org/officeDocument/2006/relationships/hyperlink" Target="https://clanpesca.com/prodotto/molix-ra-shad-2-5/" TargetMode="External"/><Relationship Id="rId671" Type="http://schemas.openxmlformats.org/officeDocument/2006/relationships/hyperlink" Target="https://bassstoreitaly.com/it/molix-ra-shad" TargetMode="External"/><Relationship Id="rId672" Type="http://schemas.openxmlformats.org/officeDocument/2006/relationships/hyperlink" Target="https://clanpesca.com/prodotto/molix-ra-shad-3/" TargetMode="External"/><Relationship Id="rId673" Type="http://schemas.openxmlformats.org/officeDocument/2006/relationships/hyperlink" Target="https://escaepescashop.it/prodotto/molix-ra-shad-3/" TargetMode="External"/><Relationship Id="rId674" Type="http://schemas.openxmlformats.org/officeDocument/2006/relationships/hyperlink" Target="https://clanpesca.com/prodotto/molix-ra-shad-3/" TargetMode="External"/><Relationship Id="rId675" Type="http://schemas.openxmlformats.org/officeDocument/2006/relationships/hyperlink" Target="https://www.webpesca.it/shop/artificiale-shad-molix-ra-shad-2-5-cm-mixed-pack-3/" TargetMode="External"/><Relationship Id="rId676" Type="http://schemas.openxmlformats.org/officeDocument/2006/relationships/hyperlink" Target="https://clanpesca.com/prodotto/molix-ra-shad-3/" TargetMode="External"/><Relationship Id="rId677" Type="http://schemas.openxmlformats.org/officeDocument/2006/relationships/hyperlink" Target="https://bassstoreitaly.com/it/molix-ra-shad-fat" TargetMode="External"/><Relationship Id="rId678" Type="http://schemas.openxmlformats.org/officeDocument/2006/relationships/hyperlink" Target="https://clanpesca.com/prodotto/molix-ra-shad-3-fat/" TargetMode="External"/><Relationship Id="rId679" Type="http://schemas.openxmlformats.org/officeDocument/2006/relationships/hyperlink" Target="https://bassstoreitaly.com/it/molix-ra-shad" TargetMode="External"/><Relationship Id="rId680" Type="http://schemas.openxmlformats.org/officeDocument/2006/relationships/hyperlink" Target="https://clanpesca.com/prodotto/molix-ra-shad-3-5/" TargetMode="External"/><Relationship Id="rId681" Type="http://schemas.openxmlformats.org/officeDocument/2006/relationships/hyperlink" Target="https://escaepescashop.it/prodotto/molix-ra-shad-2/" TargetMode="External"/><Relationship Id="rId682" Type="http://schemas.openxmlformats.org/officeDocument/2006/relationships/hyperlink" Target="https://clanpesca.com/prodotto/molix-ra-shad-3-5/" TargetMode="External"/><Relationship Id="rId683" Type="http://schemas.openxmlformats.org/officeDocument/2006/relationships/hyperlink" Target="https://www.webpesca.it/shop/artificiale-shad-molix-ra-shad-2-5-6-35-cm-citrus/" TargetMode="External"/><Relationship Id="rId684" Type="http://schemas.openxmlformats.org/officeDocument/2006/relationships/hyperlink" Target="https://clanpesca.com/prodotto/molix-ra-shad-3-5/" TargetMode="External"/><Relationship Id="rId685" Type="http://schemas.openxmlformats.org/officeDocument/2006/relationships/hyperlink" Target="https://bassstoreitaly.com/it/molix-ra-shad" TargetMode="External"/><Relationship Id="rId686" Type="http://schemas.openxmlformats.org/officeDocument/2006/relationships/hyperlink" Target="https://clanpesca.com/prodotto/molix-ra-shad-3-8/" TargetMode="External"/><Relationship Id="rId687" Type="http://schemas.openxmlformats.org/officeDocument/2006/relationships/hyperlink" Target="https://escaepescashop.it/prodotto/molix-ra-shad-38/" TargetMode="External"/><Relationship Id="rId688" Type="http://schemas.openxmlformats.org/officeDocument/2006/relationships/hyperlink" Target="https://clanpesca.com/prodotto/molix-ra-shad-3-8/" TargetMode="External"/><Relationship Id="rId689" Type="http://schemas.openxmlformats.org/officeDocument/2006/relationships/hyperlink" Target="https://www.webpesca.it/shop/artificiale-shad-molix-ra-shad-3-8-9-65-cm-black/" TargetMode="External"/><Relationship Id="rId690" Type="http://schemas.openxmlformats.org/officeDocument/2006/relationships/hyperlink" Target="https://clanpesca.com/prodotto/molix-ra-shad-3-8/" TargetMode="External"/><Relationship Id="rId691" Type="http://schemas.openxmlformats.org/officeDocument/2006/relationships/hyperlink" Target="https://bassstoreitaly.com/it/molix-ra-shad" TargetMode="External"/><Relationship Id="rId692" Type="http://schemas.openxmlformats.org/officeDocument/2006/relationships/hyperlink" Target="https://clanpesca.com/prodotto/molix-ra-shad-4-5/" TargetMode="External"/><Relationship Id="rId693" Type="http://schemas.openxmlformats.org/officeDocument/2006/relationships/hyperlink" Target="https://escaepescashop.it/prodotto/molix-ra-shad-2/" TargetMode="External"/><Relationship Id="rId694" Type="http://schemas.openxmlformats.org/officeDocument/2006/relationships/hyperlink" Target="https://clanpesca.com/prodotto/molix-ra-shad-4-5/" TargetMode="External"/><Relationship Id="rId695" Type="http://schemas.openxmlformats.org/officeDocument/2006/relationships/hyperlink" Target="https://www.webpesca.it/shop/artificiale-shad-molix-ra-shad-4-5-11-45-cm-white/" TargetMode="External"/><Relationship Id="rId696" Type="http://schemas.openxmlformats.org/officeDocument/2006/relationships/hyperlink" Target="https://clanpesca.com/prodotto/molix-ra-shad-4-5/" TargetMode="External"/><Relationship Id="rId697" Type="http://schemas.openxmlformats.org/officeDocument/2006/relationships/hyperlink" Target="https://bassstoreitaly.com/it/molix-ra-twin-bulk" TargetMode="External"/><Relationship Id="rId698" Type="http://schemas.openxmlformats.org/officeDocument/2006/relationships/hyperlink" Target="https://clanpesca.com/prodotto/molix-ra-twin-4-bulk/" TargetMode="External"/><Relationship Id="rId699" Type="http://schemas.openxmlformats.org/officeDocument/2006/relationships/hyperlink" Target="https://bassstoreitaly.com/it/molix-rod-case" TargetMode="External"/><Relationship Id="rId700" Type="http://schemas.openxmlformats.org/officeDocument/2006/relationships/hyperlink" Target="https://clanpesca.com/prodotto/molix-rod-case/" TargetMode="External"/><Relationship Id="rId701" Type="http://schemas.openxmlformats.org/officeDocument/2006/relationships/hyperlink" Target="https://bassstoreitaly.com/it/molix-stick-stopper" TargetMode="External"/><Relationship Id="rId702" Type="http://schemas.openxmlformats.org/officeDocument/2006/relationships/hyperlink" Target="https://clanpesca.com/prodotto/molix-s-stick-2/" TargetMode="External"/><Relationship Id="rId703" Type="http://schemas.openxmlformats.org/officeDocument/2006/relationships/hyperlink" Target="https://pescapromo.it/t/shads/molix-sneaky-stick-4-5-11-25cm-sinking-softbait-8pcs" TargetMode="External"/><Relationship Id="rId704" Type="http://schemas.openxmlformats.org/officeDocument/2006/relationships/hyperlink" Target="https://clanpesca.com/prodotto/molix-s-stick-2/" TargetMode="External"/><Relationship Id="rId705" Type="http://schemas.openxmlformats.org/officeDocument/2006/relationships/hyperlink" Target="https://www.webpesca.it/shop/artificiale-stickbait-molix-piper-6-5-cm-9-gr-silver-bait/" TargetMode="External"/><Relationship Id="rId706" Type="http://schemas.openxmlformats.org/officeDocument/2006/relationships/hyperlink" Target="https://clanpesca.com/prodotto/molix-s-stick-2/" TargetMode="External"/><Relationship Id="rId707" Type="http://schemas.openxmlformats.org/officeDocument/2006/relationships/hyperlink" Target="https://bassstoreitaly.com/it/molix-sc-bug" TargetMode="External"/><Relationship Id="rId708" Type="http://schemas.openxmlformats.org/officeDocument/2006/relationships/hyperlink" Target="https://clanpesca.com/prodotto/molix-sc-bug/" TargetMode="External"/><Relationship Id="rId709" Type="http://schemas.openxmlformats.org/officeDocument/2006/relationships/hyperlink" Target="https://pescapromo.it/t/creature-baits/molix-sc-bug-4-5-pezzi" TargetMode="External"/><Relationship Id="rId710" Type="http://schemas.openxmlformats.org/officeDocument/2006/relationships/hyperlink" Target="https://clanpesca.com/prodotto/molix-sc-bug/" TargetMode="External"/><Relationship Id="rId711" Type="http://schemas.openxmlformats.org/officeDocument/2006/relationships/hyperlink" Target="https://escaepescashop.it/prodotto/molix-sg-multi-pliers/" TargetMode="External"/><Relationship Id="rId712" Type="http://schemas.openxmlformats.org/officeDocument/2006/relationships/hyperlink" Target="https://clanpesca.com/prodotto/molix-sg-multi-pliers/" TargetMode="External"/><Relationship Id="rId713" Type="http://schemas.openxmlformats.org/officeDocument/2006/relationships/hyperlink" Target="https://bassstoreitaly.com/it/molix-sv-craw" TargetMode="External"/><Relationship Id="rId714" Type="http://schemas.openxmlformats.org/officeDocument/2006/relationships/hyperlink" Target="https://clanpesca.com/prodotto/molix-sv-craw/" TargetMode="External"/><Relationship Id="rId715" Type="http://schemas.openxmlformats.org/officeDocument/2006/relationships/hyperlink" Target="https://bassstoreitaly.com/it/molix-swd-swimming-dragonfly" TargetMode="External"/><Relationship Id="rId716" Type="http://schemas.openxmlformats.org/officeDocument/2006/relationships/hyperlink" Target="https://clanpesca.com/prodotto/molix-swd-swimming-dragonfly-5/" TargetMode="External"/><Relationship Id="rId717" Type="http://schemas.openxmlformats.org/officeDocument/2006/relationships/hyperlink" Target="https://bassstoreitaly.com/it/molix-sator-worm-" TargetMode="External"/><Relationship Id="rId718" Type="http://schemas.openxmlformats.org/officeDocument/2006/relationships/hyperlink" Target="https://clanpesca.com/prodotto/molix-sator-worm-4/" TargetMode="External"/><Relationship Id="rId719" Type="http://schemas.openxmlformats.org/officeDocument/2006/relationships/hyperlink" Target="https://escaepescashop.it/prodotto/molix-sator-worm-25/" TargetMode="External"/><Relationship Id="rId720" Type="http://schemas.openxmlformats.org/officeDocument/2006/relationships/hyperlink" Target="https://clanpesca.com/prodotto/molix-sator-worm-4/" TargetMode="External"/><Relationship Id="rId721" Type="http://schemas.openxmlformats.org/officeDocument/2006/relationships/hyperlink" Target="https://www.webpesca.it/shop/artificiale-worm-molix-sator-worm-4-10-cm-green-red/" TargetMode="External"/><Relationship Id="rId722" Type="http://schemas.openxmlformats.org/officeDocument/2006/relationships/hyperlink" Target="https://clanpesca.com/prodotto/molix-sator-worm-4/" TargetMode="External"/><Relationship Id="rId723" Type="http://schemas.openxmlformats.org/officeDocument/2006/relationships/hyperlink" Target="https://bassstoreitaly.com/it/molix-sator-worm-" TargetMode="External"/><Relationship Id="rId724" Type="http://schemas.openxmlformats.org/officeDocument/2006/relationships/hyperlink" Target="https://clanpesca.com/prodotto/molix-sator-worm-5/" TargetMode="External"/><Relationship Id="rId725" Type="http://schemas.openxmlformats.org/officeDocument/2006/relationships/hyperlink" Target="https://escaepescashop.it/prodotto/molix-sator-worm-25/" TargetMode="External"/><Relationship Id="rId726" Type="http://schemas.openxmlformats.org/officeDocument/2006/relationships/hyperlink" Target="https://clanpesca.com/prodotto/molix-sator-worm-5/" TargetMode="External"/><Relationship Id="rId727" Type="http://schemas.openxmlformats.org/officeDocument/2006/relationships/hyperlink" Target="https://www.webpesca.it/shop/artificiale-worm-molix-sator-worm-5-12-5-cm-green-pumpkin/" TargetMode="External"/><Relationship Id="rId728" Type="http://schemas.openxmlformats.org/officeDocument/2006/relationships/hyperlink" Target="https://clanpesca.com/prodotto/molix-sator-worm-5/" TargetMode="External"/><Relationship Id="rId729" Type="http://schemas.openxmlformats.org/officeDocument/2006/relationships/hyperlink" Target="https://bassstoreitaly.com/it/molix-sator-worm-" TargetMode="External"/><Relationship Id="rId730" Type="http://schemas.openxmlformats.org/officeDocument/2006/relationships/hyperlink" Target="https://clanpesca.com/prodotto/molix-sator-worm-5-8/" TargetMode="External"/><Relationship Id="rId731" Type="http://schemas.openxmlformats.org/officeDocument/2006/relationships/hyperlink" Target="https://escaepescashop.it/prodotto/molix-sator-worm-25/" TargetMode="External"/><Relationship Id="rId732" Type="http://schemas.openxmlformats.org/officeDocument/2006/relationships/hyperlink" Target="https://clanpesca.com/prodotto/molix-sator-worm-5-8/" TargetMode="External"/><Relationship Id="rId733" Type="http://schemas.openxmlformats.org/officeDocument/2006/relationships/hyperlink" Target="https://www.webpesca.it/shop/artificiale-worm-molix-sator-worm-5-12-5-cm-green-pumpkin/" TargetMode="External"/><Relationship Id="rId734" Type="http://schemas.openxmlformats.org/officeDocument/2006/relationships/hyperlink" Target="https://clanpesca.com/prodotto/molix-sator-worm-5-8/" TargetMode="External"/><Relationship Id="rId735" Type="http://schemas.openxmlformats.org/officeDocument/2006/relationships/hyperlink" Target="https://bassstoreitaly.com/it/molix-sculpo-crank-dr-rattlin-" TargetMode="External"/><Relationship Id="rId736" Type="http://schemas.openxmlformats.org/officeDocument/2006/relationships/hyperlink" Target="https://clanpesca.com/prodotto/molix-sculpo-dr-rattlin/" TargetMode="External"/><Relationship Id="rId737" Type="http://schemas.openxmlformats.org/officeDocument/2006/relationships/hyperlink" Target="https://pescapromo.it/t/esche-artificiali-minnow/molix-sculpo-dr-rattlin-crankbait-55cm-14g" TargetMode="External"/><Relationship Id="rId738" Type="http://schemas.openxmlformats.org/officeDocument/2006/relationships/hyperlink" Target="https://clanpesca.com/prodotto/molix-sculpo-dr-rattlin/" TargetMode="External"/><Relationship Id="rId739" Type="http://schemas.openxmlformats.org/officeDocument/2006/relationships/hyperlink" Target="https://www.webpesca.it/shop/artificiale-crankbait-molix-sculpo-dr-rattlin-5-5-cm-14-gr-tennessee-shad/" TargetMode="External"/><Relationship Id="rId740" Type="http://schemas.openxmlformats.org/officeDocument/2006/relationships/hyperlink" Target="https://clanpesca.com/prodotto/molix-sculpo-dr-rattlin/" TargetMode="External"/><Relationship Id="rId741" Type="http://schemas.openxmlformats.org/officeDocument/2006/relationships/hyperlink" Target="https://bassstoreitaly.com/it/molix-sculpo-crank-xd-rattlin" TargetMode="External"/><Relationship Id="rId742" Type="http://schemas.openxmlformats.org/officeDocument/2006/relationships/hyperlink" Target="https://clanpesca.com/prodotto/molix-sculpo-xd-rattlin/" TargetMode="External"/><Relationship Id="rId743" Type="http://schemas.openxmlformats.org/officeDocument/2006/relationships/hyperlink" Target="https://bassstoreitaly.com/it/molix-ra-shad" TargetMode="External"/><Relationship Id="rId744" Type="http://schemas.openxmlformats.org/officeDocument/2006/relationships/hyperlink" Target="https://clanpesca.com/prodotto/molix-shad-100/" TargetMode="External"/><Relationship Id="rId745" Type="http://schemas.openxmlformats.org/officeDocument/2006/relationships/hyperlink" Target="https://escaepescashop.it/prodotto/molix-ra-shad-2/" TargetMode="External"/><Relationship Id="rId746" Type="http://schemas.openxmlformats.org/officeDocument/2006/relationships/hyperlink" Target="https://clanpesca.com/prodotto/molix-shad-100/" TargetMode="External"/><Relationship Id="rId747" Type="http://schemas.openxmlformats.org/officeDocument/2006/relationships/hyperlink" Target="https://pescapromo.it/t/shads/molix-shad-100-live-10cm-245g" TargetMode="External"/><Relationship Id="rId748" Type="http://schemas.openxmlformats.org/officeDocument/2006/relationships/hyperlink" Target="https://clanpesca.com/prodotto/molix-shad-100/" TargetMode="External"/><Relationship Id="rId749" Type="http://schemas.openxmlformats.org/officeDocument/2006/relationships/hyperlink" Target="https://www.webpesca.it/shop/artificiale-shad-molix-ra-shad-2-5-cm-citrus/" TargetMode="External"/><Relationship Id="rId750" Type="http://schemas.openxmlformats.org/officeDocument/2006/relationships/hyperlink" Target="https://clanpesca.com/prodotto/molix-shad-100/" TargetMode="External"/><Relationship Id="rId751" Type="http://schemas.openxmlformats.org/officeDocument/2006/relationships/hyperlink" Target="https://bassstoreitaly.com/it/molix-ra-shad" TargetMode="External"/><Relationship Id="rId752" Type="http://schemas.openxmlformats.org/officeDocument/2006/relationships/hyperlink" Target="https://clanpesca.com/prodotto/molix-shad-120/" TargetMode="External"/><Relationship Id="rId753" Type="http://schemas.openxmlformats.org/officeDocument/2006/relationships/hyperlink" Target="https://escaepescashop.it/prodotto/molix-ra-shad-2/" TargetMode="External"/><Relationship Id="rId754" Type="http://schemas.openxmlformats.org/officeDocument/2006/relationships/hyperlink" Target="https://clanpesca.com/prodotto/molix-shad-120/" TargetMode="External"/><Relationship Id="rId755" Type="http://schemas.openxmlformats.org/officeDocument/2006/relationships/hyperlink" Target="https://pescapromo.it/t/shads/molix-shad-120-swimbait-12cm-35g" TargetMode="External"/><Relationship Id="rId756" Type="http://schemas.openxmlformats.org/officeDocument/2006/relationships/hyperlink" Target="https://clanpesca.com/prodotto/molix-shad-120/" TargetMode="External"/><Relationship Id="rId757" Type="http://schemas.openxmlformats.org/officeDocument/2006/relationships/hyperlink" Target="https://www.webpesca.it/shop/artificiale-shad-molix-ra-shad-2-5-cm-citrus/" TargetMode="External"/><Relationship Id="rId758" Type="http://schemas.openxmlformats.org/officeDocument/2006/relationships/hyperlink" Target="https://clanpesca.com/prodotto/molix-shad-120/" TargetMode="External"/><Relationship Id="rId759" Type="http://schemas.openxmlformats.org/officeDocument/2006/relationships/hyperlink" Target="https://bassstoreitaly.com/it/molix-ra-shad" TargetMode="External"/><Relationship Id="rId760" Type="http://schemas.openxmlformats.org/officeDocument/2006/relationships/hyperlink" Target="https://clanpesca.com/prodotto/molix-shad-140-gr-60-cm-14/" TargetMode="External"/><Relationship Id="rId761" Type="http://schemas.openxmlformats.org/officeDocument/2006/relationships/hyperlink" Target="https://escaepescashop.it/prodotto/molix-ra-shad-2/" TargetMode="External"/><Relationship Id="rId762" Type="http://schemas.openxmlformats.org/officeDocument/2006/relationships/hyperlink" Target="https://clanpesca.com/prodotto/molix-shad-140-gr-60-cm-14/" TargetMode="External"/><Relationship Id="rId763" Type="http://schemas.openxmlformats.org/officeDocument/2006/relationships/hyperlink" Target="https://pescapromo.it/t/shads/molix-shad-140-14cm-60g" TargetMode="External"/><Relationship Id="rId764" Type="http://schemas.openxmlformats.org/officeDocument/2006/relationships/hyperlink" Target="https://clanpesca.com/prodotto/molix-shad-140-gr-60-cm-14/" TargetMode="External"/><Relationship Id="rId765" Type="http://schemas.openxmlformats.org/officeDocument/2006/relationships/hyperlink" Target="https://www.webpesca.it/shop/artificiale-shad-molix-ra-shad-2-5-cm-citrus/" TargetMode="External"/><Relationship Id="rId766" Type="http://schemas.openxmlformats.org/officeDocument/2006/relationships/hyperlink" Target="https://clanpesca.com/prodotto/molix-shad-140-gr-60-cm-14/" TargetMode="External"/><Relationship Id="rId767" Type="http://schemas.openxmlformats.org/officeDocument/2006/relationships/hyperlink" Target="https://bassstoreitaly.com/it/molix-ra-shad" TargetMode="External"/><Relationship Id="rId768" Type="http://schemas.openxmlformats.org/officeDocument/2006/relationships/hyperlink" Target="https://clanpesca.com/prodotto/molix-shad-185-gr-100-cm-185/" TargetMode="External"/><Relationship Id="rId769" Type="http://schemas.openxmlformats.org/officeDocument/2006/relationships/hyperlink" Target="https://escaepescashop.it/prodotto/molix-ra-shad-2/" TargetMode="External"/><Relationship Id="rId770" Type="http://schemas.openxmlformats.org/officeDocument/2006/relationships/hyperlink" Target="https://clanpesca.com/prodotto/molix-shad-185-gr-100-cm-185/" TargetMode="External"/><Relationship Id="rId771" Type="http://schemas.openxmlformats.org/officeDocument/2006/relationships/hyperlink" Target="https://pescapromo.it/t/shads/molix-pike-shad-7-5-19cm-2pcs" TargetMode="External"/><Relationship Id="rId772" Type="http://schemas.openxmlformats.org/officeDocument/2006/relationships/hyperlink" Target="https://clanpesca.com/prodotto/molix-shad-185-gr-100-cm-185/" TargetMode="External"/><Relationship Id="rId773" Type="http://schemas.openxmlformats.org/officeDocument/2006/relationships/hyperlink" Target="https://www.webpesca.it/shop/artificiale-shad-molix-ra-shad-2-5-cm-citrus/" TargetMode="External"/><Relationship Id="rId774" Type="http://schemas.openxmlformats.org/officeDocument/2006/relationships/hyperlink" Target="https://clanpesca.com/prodotto/molix-shad-185-gr-100-cm-185/" TargetMode="External"/><Relationship Id="rId775" Type="http://schemas.openxmlformats.org/officeDocument/2006/relationships/hyperlink" Target="https://bassstoreitaly.com/it/molix-sight-marker" TargetMode="External"/><Relationship Id="rId776" Type="http://schemas.openxmlformats.org/officeDocument/2006/relationships/hyperlink" Target="https://clanpesca.com/prodotto/molix-sight-marker/" TargetMode="External"/><Relationship Id="rId777" Type="http://schemas.openxmlformats.org/officeDocument/2006/relationships/hyperlink" Target="https://bassstoreitaly.com/it/molix-sligozzo-2" TargetMode="External"/><Relationship Id="rId778" Type="http://schemas.openxmlformats.org/officeDocument/2006/relationships/hyperlink" Target="https://clanpesca.com/prodotto/molix-sligo-5-2/" TargetMode="External"/><Relationship Id="rId779" Type="http://schemas.openxmlformats.org/officeDocument/2006/relationships/hyperlink" Target="https://bassstoreitaly.com/it/molix-sneaky-frog-evo" TargetMode="External"/><Relationship Id="rId780" Type="http://schemas.openxmlformats.org/officeDocument/2006/relationships/hyperlink" Target="https://clanpesca.com/prodotto/molix-sneaky-frog-90-evo/" TargetMode="External"/><Relationship Id="rId781" Type="http://schemas.openxmlformats.org/officeDocument/2006/relationships/hyperlink" Target="https://bassstoreitaly.com/it/molix-sneaky-worm" TargetMode="External"/><Relationship Id="rId782" Type="http://schemas.openxmlformats.org/officeDocument/2006/relationships/hyperlink" Target="https://clanpesca.com/prodotto/molix-sneaky-worm/" TargetMode="External"/><Relationship Id="rId783" Type="http://schemas.openxmlformats.org/officeDocument/2006/relationships/hyperlink" Target="https://www.webpesca.it/shop/artificiale-worm-molix-sneaky-worm-5-13-cm-shiny-shad/" TargetMode="External"/><Relationship Id="rId784" Type="http://schemas.openxmlformats.org/officeDocument/2006/relationships/hyperlink" Target="https://clanpesca.com/prodotto/molix-sneaky-worm/" TargetMode="External"/><Relationship Id="rId785" Type="http://schemas.openxmlformats.org/officeDocument/2006/relationships/hyperlink" Target="https://bassstoreitaly.com/it/molix-soft-lipless-vib" TargetMode="External"/><Relationship Id="rId786" Type="http://schemas.openxmlformats.org/officeDocument/2006/relationships/hyperlink" Target="https://clanpesca.com/prodotto/molix-soft-lipless-vib-55-14-gr-5-5-cm/" TargetMode="External"/><Relationship Id="rId787" Type="http://schemas.openxmlformats.org/officeDocument/2006/relationships/hyperlink" Target="https://bassstoreitaly.com/it/molix-spin-shad-185-swimbait" TargetMode="External"/><Relationship Id="rId788" Type="http://schemas.openxmlformats.org/officeDocument/2006/relationships/hyperlink" Target="https://clanpesca.com/prodotto/molix-spin-shad-110/" TargetMode="External"/><Relationship Id="rId789" Type="http://schemas.openxmlformats.org/officeDocument/2006/relationships/hyperlink" Target="https://www.webpesca.it/shop/artificiale-shad-molix-spin-shad-11-cm-55-gr-perch/" TargetMode="External"/><Relationship Id="rId790" Type="http://schemas.openxmlformats.org/officeDocument/2006/relationships/hyperlink" Target="https://clanpesca.com/prodotto/molix-spin-shad-110/" TargetMode="External"/><Relationship Id="rId791" Type="http://schemas.openxmlformats.org/officeDocument/2006/relationships/hyperlink" Target="https://bassstoreitaly.com/it/molix-spin-shad-185-swimbait" TargetMode="External"/><Relationship Id="rId792" Type="http://schemas.openxmlformats.org/officeDocument/2006/relationships/hyperlink" Target="https://clanpesca.com/prodotto/molix-spin-shad-160/" TargetMode="External"/><Relationship Id="rId793" Type="http://schemas.openxmlformats.org/officeDocument/2006/relationships/hyperlink" Target="https://www.webpesca.it/shop/artificiale-shad-molix-spin-shad-16-cm-160-gr-perch/" TargetMode="External"/><Relationship Id="rId794" Type="http://schemas.openxmlformats.org/officeDocument/2006/relationships/hyperlink" Target="https://clanpesca.com/prodotto/molix-spin-shad-160/" TargetMode="External"/><Relationship Id="rId795" Type="http://schemas.openxmlformats.org/officeDocument/2006/relationships/hyperlink" Target="https://bassstoreitaly.com/it/molix-stick-flex" TargetMode="External"/><Relationship Id="rId796" Type="http://schemas.openxmlformats.org/officeDocument/2006/relationships/hyperlink" Target="https://clanpesca.com/prodotto/molix-stick-flex-2-75-cm-7/" TargetMode="External"/><Relationship Id="rId797" Type="http://schemas.openxmlformats.org/officeDocument/2006/relationships/hyperlink" Target="https://www.webpesca.it/shop/artificiale-stickbait-molix-stick-flex-2-75-7-cm-watermelon/" TargetMode="External"/><Relationship Id="rId798" Type="http://schemas.openxmlformats.org/officeDocument/2006/relationships/hyperlink" Target="https://clanpesca.com/prodotto/molix-stick-flex-2-75-cm-7/" TargetMode="External"/><Relationship Id="rId799" Type="http://schemas.openxmlformats.org/officeDocument/2006/relationships/hyperlink" Target="https://bassstoreitaly.com/it/molix-stick-flex" TargetMode="External"/><Relationship Id="rId800" Type="http://schemas.openxmlformats.org/officeDocument/2006/relationships/hyperlink" Target="https://clanpesca.com/prodotto/molix-stick-flex-4-5-cm-11-40/" TargetMode="External"/><Relationship Id="rId801" Type="http://schemas.openxmlformats.org/officeDocument/2006/relationships/hyperlink" Target="https://www.webpesca.it/shop/artificiale-stickbait-molix-stick-flex-4-5-11-4-cm-alewife/" TargetMode="External"/><Relationship Id="rId802" Type="http://schemas.openxmlformats.org/officeDocument/2006/relationships/hyperlink" Target="https://clanpesca.com/prodotto/molix-stick-flex-4-5-cm-11-40/" TargetMode="External"/><Relationship Id="rId803" Type="http://schemas.openxmlformats.org/officeDocument/2006/relationships/hyperlink" Target="https://bassstoreitaly.com/it/molix-supernato-beetle-baby" TargetMode="External"/><Relationship Id="rId804" Type="http://schemas.openxmlformats.org/officeDocument/2006/relationships/hyperlink" Target="https://clanpesca.com/prodotto/molix-supernato-beetle-cm-7-5-gr-17/" TargetMode="External"/><Relationship Id="rId805" Type="http://schemas.openxmlformats.org/officeDocument/2006/relationships/hyperlink" Target="https://bassstoreitaly.com/it/molix-supernato-frog-baby-spare-legs" TargetMode="External"/><Relationship Id="rId806" Type="http://schemas.openxmlformats.org/officeDocument/2006/relationships/hyperlink" Target="https://clanpesca.com/prodotto/molix-supernato-frog-r/" TargetMode="External"/><Relationship Id="rId807" Type="http://schemas.openxmlformats.org/officeDocument/2006/relationships/hyperlink" Target="https://bassstoreitaly.com/it/molix-trago-65-spyblade" TargetMode="External"/><Relationship Id="rId808" Type="http://schemas.openxmlformats.org/officeDocument/2006/relationships/hyperlink" Target="https://clanpesca.com/prodotto/molix-trago-65-spyblade/" TargetMode="External"/><Relationship Id="rId809" Type="http://schemas.openxmlformats.org/officeDocument/2006/relationships/hyperlink" Target="https://bassstoreitaly.com/it/ondulanti-molix-elite-trout-area-spoon" TargetMode="External"/><Relationship Id="rId810" Type="http://schemas.openxmlformats.org/officeDocument/2006/relationships/hyperlink" Target="https://clanpesca.com/prodotto/molix-trout-spoon-gr-1-5/" TargetMode="External"/><Relationship Id="rId811" Type="http://schemas.openxmlformats.org/officeDocument/2006/relationships/hyperlink" Target="https://bassstoreitaly.com/it/ondulanti-molix-elite-trout-area-spoon" TargetMode="External"/><Relationship Id="rId812" Type="http://schemas.openxmlformats.org/officeDocument/2006/relationships/hyperlink" Target="https://clanpesca.com/prodotto/molix-trout-spoon-gr-2-5/" TargetMode="External"/><Relationship Id="rId813" Type="http://schemas.openxmlformats.org/officeDocument/2006/relationships/hyperlink" Target="https://bassstoreitaly.com/it/ondulanti-molix-elite-trout-area-spoon" TargetMode="External"/><Relationship Id="rId814" Type="http://schemas.openxmlformats.org/officeDocument/2006/relationships/hyperlink" Target="https://clanpesca.com/prodotto/molix-trout-spoon-gr-3-5/" TargetMode="External"/><Relationship Id="rId815" Type="http://schemas.openxmlformats.org/officeDocument/2006/relationships/hyperlink" Target="https://bassstoreitaly.com/it/molix-waterproof-elite-series" TargetMode="External"/><Relationship Id="rId816" Type="http://schemas.openxmlformats.org/officeDocument/2006/relationships/hyperlink" Target="https://clanpesca.com/prodotto/molix-waterproof-elite/" TargetMode="External"/><Relationship Id="rId817" Type="http://schemas.openxmlformats.org/officeDocument/2006/relationships/hyperlink" Target="https://www.megafish.it/valigette-e-contenitori/5871-molix-elite-waterproof-scatola-porta-accessori.html" TargetMode="External"/><Relationship Id="rId818" Type="http://schemas.openxmlformats.org/officeDocument/2006/relationships/hyperlink" Target="https://clanpesca.com/prodotto/molix-waterproof-elite/" TargetMode="External"/><Relationship Id="rId819" Type="http://schemas.openxmlformats.org/officeDocument/2006/relationships/hyperlink" Target="https://bassstoreitaly.com/it/mustad-alpha-point-infiltrator-blade-weighted" TargetMode="External"/><Relationship Id="rId820" Type="http://schemas.openxmlformats.org/officeDocument/2006/relationships/hyperlink" Target="https://clanpesca.com/prodotto/mustad-infiltrator-blade-weight/" TargetMode="External"/><Relationship Id="rId821" Type="http://schemas.openxmlformats.org/officeDocument/2006/relationships/hyperlink" Target="https://bassstoreitaly.com/it/mustad-alpha-point-apex-wide-dropshot" TargetMode="External"/><Relationship Id="rId822" Type="http://schemas.openxmlformats.org/officeDocument/2006/relationships/hyperlink" Target="https://clanpesca.com/prodotto/mustad-apex-wide-dropshot/" TargetMode="External"/><Relationship Id="rId823" Type="http://schemas.openxmlformats.org/officeDocument/2006/relationships/hyperlink" Target="https://bassstoreitaly.com/it/mustad-alpha-point-assault-wide-gap" TargetMode="External"/><Relationship Id="rId824" Type="http://schemas.openxmlformats.org/officeDocument/2006/relationships/hyperlink" Target="https://clanpesca.com/prodotto/mustad-assault-wide-gap/" TargetMode="External"/><Relationship Id="rId825" Type="http://schemas.openxmlformats.org/officeDocument/2006/relationships/hyperlink" Target="https://bassstoreitaly.com/it/mustad-alpha-point-infiltrator-swim" TargetMode="External"/><Relationship Id="rId826" Type="http://schemas.openxmlformats.org/officeDocument/2006/relationships/hyperlink" Target="https://clanpesca.com/prodotto/mustad-infiltrator-swim/" TargetMode="External"/><Relationship Id="rId827" Type="http://schemas.openxmlformats.org/officeDocument/2006/relationships/hyperlink" Target="https://bassstoreitaly.com/it/nories-clionex" TargetMode="External"/><Relationship Id="rId828" Type="http://schemas.openxmlformats.org/officeDocument/2006/relationships/hyperlink" Target="https://clanpesca.com/prodotto/nories-clionex-2/" TargetMode="External"/><Relationship Id="rId829" Type="http://schemas.openxmlformats.org/officeDocument/2006/relationships/hyperlink" Target="https://bassstoreitaly.com/it/nories-front-flapper-curly" TargetMode="External"/><Relationship Id="rId830" Type="http://schemas.openxmlformats.org/officeDocument/2006/relationships/hyperlink" Target="https://clanpesca.com/prodotto/nories-front-flapper-curly-4/" TargetMode="External"/><Relationship Id="rId831" Type="http://schemas.openxmlformats.org/officeDocument/2006/relationships/hyperlink" Target="https://bassstoreitaly.com/it/nories-joint-fuka-bait" TargetMode="External"/><Relationship Id="rId832" Type="http://schemas.openxmlformats.org/officeDocument/2006/relationships/hyperlink" Target="https://clanpesca.com/prodotto/nories-joint-fukabait-127-mm-44-gr/" TargetMode="External"/><Relationship Id="rId833" Type="http://schemas.openxmlformats.org/officeDocument/2006/relationships/hyperlink" Target="https://bassstoreitaly.com/it/nories-lady-fish" TargetMode="External"/><Relationship Id="rId834" Type="http://schemas.openxmlformats.org/officeDocument/2006/relationships/hyperlink" Target="https://clanpesca.com/prodotto/nories-lady-fish-3-1-2/" TargetMode="External"/><Relationship Id="rId835" Type="http://schemas.openxmlformats.org/officeDocument/2006/relationships/hyperlink" Target="https://bassstoreitaly.com/it/nories-rooney" TargetMode="External"/><Relationship Id="rId836" Type="http://schemas.openxmlformats.org/officeDocument/2006/relationships/hyperlink" Target="https://clanpesca.com/prodotto/nories-rooney-1-8/" TargetMode="External"/><Relationship Id="rId837" Type="http://schemas.openxmlformats.org/officeDocument/2006/relationships/hyperlink" Target="https://bassstoreitaly.com/it/nories-rooney" TargetMode="External"/><Relationship Id="rId838" Type="http://schemas.openxmlformats.org/officeDocument/2006/relationships/hyperlink" Target="https://clanpesca.com/prodotto/nories-rooney-2-2/" TargetMode="External"/><Relationship Id="rId839" Type="http://schemas.openxmlformats.org/officeDocument/2006/relationships/hyperlink" Target="https://bassstoreitaly.com/it/nories-rooney" TargetMode="External"/><Relationship Id="rId840" Type="http://schemas.openxmlformats.org/officeDocument/2006/relationships/hyperlink" Target="https://clanpesca.com/prodotto/nories-rooney-2-8-2/" TargetMode="External"/><Relationship Id="rId841" Type="http://schemas.openxmlformats.org/officeDocument/2006/relationships/hyperlink" Target="https://bassstoreitaly.com/it/nories-sankaku-ko-t-san" TargetMode="External"/><Relationship Id="rId842" Type="http://schemas.openxmlformats.org/officeDocument/2006/relationships/hyperlink" Target="https://clanpesca.com/prodotto/nories-sankaku-t-san-5/" TargetMode="External"/><Relationship Id="rId843" Type="http://schemas.openxmlformats.org/officeDocument/2006/relationships/hyperlink" Target="https://bassstoreitaly.com/it/nories-sofia-limited" TargetMode="External"/><Relationship Id="rId844" Type="http://schemas.openxmlformats.org/officeDocument/2006/relationships/hyperlink" Target="https://clanpesca.com/prodotto/nories-sofia-gr-1-6/" TargetMode="External"/><Relationship Id="rId845" Type="http://schemas.openxmlformats.org/officeDocument/2006/relationships/hyperlink" Target="https://bassstoreitaly.com/it/nories-tulle-spoon" TargetMode="External"/><Relationship Id="rId846" Type="http://schemas.openxmlformats.org/officeDocument/2006/relationships/hyperlink" Target="https://clanpesca.com/prodotto/nories-spoon-tulle-gr-3-0/" TargetMode="External"/><Relationship Id="rId847" Type="http://schemas.openxmlformats.org/officeDocument/2006/relationships/hyperlink" Target="https://bassstoreitaly.com/it/nories-tulle-spoon" TargetMode="External"/><Relationship Id="rId848" Type="http://schemas.openxmlformats.org/officeDocument/2006/relationships/hyperlink" Target="https://clanpesca.com/prodotto/nories-spoon-tulle-gr-3-5/" TargetMode="External"/><Relationship Id="rId849" Type="http://schemas.openxmlformats.org/officeDocument/2006/relationships/hyperlink" Target="https://bassstoreitaly.com/it/nories-tanny-frog" TargetMode="External"/><Relationship Id="rId850" Type="http://schemas.openxmlformats.org/officeDocument/2006/relationships/hyperlink" Target="https://clanpesca.com/prodotto/nories-tanny-frog-2/" TargetMode="External"/><Relationship Id="rId851" Type="http://schemas.openxmlformats.org/officeDocument/2006/relationships/hyperlink" Target="https://bassstoreitaly.com/it/nories-tanny-frog-popper" TargetMode="External"/><Relationship Id="rId852" Type="http://schemas.openxmlformats.org/officeDocument/2006/relationships/hyperlink" Target="https://clanpesca.com/prodotto/nories-tanny-frog-popper/" TargetMode="External"/><Relationship Id="rId853" Type="http://schemas.openxmlformats.org/officeDocument/2006/relationships/hyperlink" Target="https://bassstoreitaly.com/it/omtd-drop-shot-hooks-oh-1200" TargetMode="External"/><Relationship Id="rId854" Type="http://schemas.openxmlformats.org/officeDocument/2006/relationships/hyperlink" Target="https://clanpesca.com/prodotto/omtd-drop-shot-oh1200/" TargetMode="External"/><Relationship Id="rId855" Type="http://schemas.openxmlformats.org/officeDocument/2006/relationships/hyperlink" Target="https://bassstoreitaly.com/it/omtd-oj1900-ned-rig-jig-head" TargetMode="External"/><Relationship Id="rId856" Type="http://schemas.openxmlformats.org/officeDocument/2006/relationships/hyperlink" Target="https://clanpesca.com/prodotto/omtd-ned-rig-jig-head-oj1900/" TargetMode="External"/><Relationship Id="rId857" Type="http://schemas.openxmlformats.org/officeDocument/2006/relationships/hyperlink" Target="https://bassstoreitaly.com/it/omtd-single-lure-hook-oh1700" TargetMode="External"/><Relationship Id="rId858" Type="http://schemas.openxmlformats.org/officeDocument/2006/relationships/hyperlink" Target="https://clanpesca.com/prodotto/omtd-single-lure-hook-oh1700/" TargetMode="External"/><Relationship Id="rId859" Type="http://schemas.openxmlformats.org/officeDocument/2006/relationships/hyperlink" Target="https://escaepescashop.it/prodotto/omtd-oh2700-swimbait-hook/" TargetMode="External"/><Relationship Id="rId860" Type="http://schemas.openxmlformats.org/officeDocument/2006/relationships/hyperlink" Target="https://clanpesca.com/prodotto/omtd-swimbait-hook-oh2700/" TargetMode="External"/><Relationship Id="rId861" Type="http://schemas.openxmlformats.org/officeDocument/2006/relationships/hyperlink" Target="https://bassstoreitaly.com/it/omtd-t-swimbait-weighted-oh1500" TargetMode="External"/><Relationship Id="rId862" Type="http://schemas.openxmlformats.org/officeDocument/2006/relationships/hyperlink" Target="https://clanpesca.com/prodotto/omtd-swimbait-weighted-oh1500/" TargetMode="External"/><Relationship Id="rId863" Type="http://schemas.openxmlformats.org/officeDocument/2006/relationships/hyperlink" Target="https://bassstoreitaly.com/it/omtd-oj-1800-swimming-wt" TargetMode="External"/><Relationship Id="rId864" Type="http://schemas.openxmlformats.org/officeDocument/2006/relationships/hyperlink" Target="https://clanpesca.com/prodotto/omtd-swimming-wt-oj1800/" TargetMode="External"/><Relationship Id="rId865" Type="http://schemas.openxmlformats.org/officeDocument/2006/relationships/hyperlink" Target="https://bassstoreitaly.com/it/omtd-t-power-finesse-jighead-oj200" TargetMode="External"/><Relationship Id="rId866" Type="http://schemas.openxmlformats.org/officeDocument/2006/relationships/hyperlink" Target="https://clanpesca.com/prodotto/omtd-t-power-finesse-oj200/" TargetMode="External"/><Relationship Id="rId867" Type="http://schemas.openxmlformats.org/officeDocument/2006/relationships/hyperlink" Target="https://bassstoreitaly.com/it/omtd-t-trout-jighead-oj700" TargetMode="External"/><Relationship Id="rId868" Type="http://schemas.openxmlformats.org/officeDocument/2006/relationships/hyperlink" Target="https://clanpesca.com/prodotto/omtd-t-trout-oj700/" TargetMode="External"/><Relationship Id="rId869" Type="http://schemas.openxmlformats.org/officeDocument/2006/relationships/hyperlink" Target="https://bassstoreitaly.com/it/omtd-big-swimbait-bladed-hook" TargetMode="External"/><Relationship Id="rId870" Type="http://schemas.openxmlformats.org/officeDocument/2006/relationships/hyperlink" Target="https://clanpesca.com/prodotto/omtd-big-swimbait-bladed-hook/" TargetMode="External"/><Relationship Id="rId871" Type="http://schemas.openxmlformats.org/officeDocument/2006/relationships/hyperlink" Target="https://bassstoreitaly.com/it/omtd-big-swimbait-weighted-hook" TargetMode="External"/><Relationship Id="rId872" Type="http://schemas.openxmlformats.org/officeDocument/2006/relationships/hyperlink" Target="https://clanpesca.com/prodotto/omtd-big-swimbait-hook/" TargetMode="External"/><Relationship Id="rId873" Type="http://schemas.openxmlformats.org/officeDocument/2006/relationships/hyperlink" Target="https://bassstoreitaly.com/it/owner-hyper-welded-quick-snap" TargetMode="External"/><Relationship Id="rId874" Type="http://schemas.openxmlformats.org/officeDocument/2006/relationships/hyperlink" Target="https://clanpesca.com/prodotto/owner-5121-welded-quick-snap/" TargetMode="External"/><Relationship Id="rId875" Type="http://schemas.openxmlformats.org/officeDocument/2006/relationships/hyperlink" Target="https://bassstoreitaly.com/it/owner-jig-rig-lead-sinker" TargetMode="External"/><Relationship Id="rId876" Type="http://schemas.openxmlformats.org/officeDocument/2006/relationships/hyperlink" Target="https://clanpesca.com/prodotto/owner-5122-jig-rig-w-lead-sinker/" TargetMode="External"/><Relationship Id="rId877" Type="http://schemas.openxmlformats.org/officeDocument/2006/relationships/hyperlink" Target="https://bassstoreitaly.com/it/owner-s-59-single-hook" TargetMode="External"/><Relationship Id="rId878" Type="http://schemas.openxmlformats.org/officeDocument/2006/relationships/hyperlink" Target="https://clanpesca.com/prodotto/owner-5140-j-hook/" TargetMode="External"/><Relationship Id="rId879" Type="http://schemas.openxmlformats.org/officeDocument/2006/relationships/hyperlink" Target="https://pescapromo.it/t/ami-per-pesca-in-mare/owner-5114-circle-hooks" TargetMode="External"/><Relationship Id="rId880" Type="http://schemas.openxmlformats.org/officeDocument/2006/relationships/hyperlink" Target="https://clanpesca.com/prodotto/owner-5140-j-hook/" TargetMode="External"/><Relationship Id="rId881" Type="http://schemas.openxmlformats.org/officeDocument/2006/relationships/hyperlink" Target="https://bassstoreitaly.com/it/owner-jig-rig-lead-sinker" TargetMode="External"/><Relationship Id="rId882" Type="http://schemas.openxmlformats.org/officeDocument/2006/relationships/hyperlink" Target="https://clanpesca.com/prodotto/owner-5155-lead-sinker/" TargetMode="External"/><Relationship Id="rId883" Type="http://schemas.openxmlformats.org/officeDocument/2006/relationships/hyperlink" Target="https://bassstoreitaly.com/it/owner-sbl-67-hook" TargetMode="External"/><Relationship Id="rId884" Type="http://schemas.openxmlformats.org/officeDocument/2006/relationships/hyperlink" Target="https://clanpesca.com/prodotto/owner-51725-sbl-47/" TargetMode="External"/><Relationship Id="rId885" Type="http://schemas.openxmlformats.org/officeDocument/2006/relationships/hyperlink" Target="https://bassstoreitaly.com/it/ancorette-owner-stinger-treble-st-36-bc" TargetMode="External"/><Relationship Id="rId886" Type="http://schemas.openxmlformats.org/officeDocument/2006/relationships/hyperlink" Target="https://clanpesca.com/prodotto/owner-ancorette-st-36-bc-5636/" TargetMode="External"/><Relationship Id="rId887" Type="http://schemas.openxmlformats.org/officeDocument/2006/relationships/hyperlink" Target="https://bassstoreitaly.com/it/ancorette-owner-stinger-treble-st-36-bc" TargetMode="External"/><Relationship Id="rId888" Type="http://schemas.openxmlformats.org/officeDocument/2006/relationships/hyperlink" Target="https://clanpesca.com/prodotto/owner-ancorette-st-41-bc-5641/" TargetMode="External"/><Relationship Id="rId889" Type="http://schemas.openxmlformats.org/officeDocument/2006/relationships/hyperlink" Target="https://bassstoreitaly.com/it/owner-hyper-wire-split-rings-stainless" TargetMode="External"/><Relationship Id="rId890" Type="http://schemas.openxmlformats.org/officeDocument/2006/relationships/hyperlink" Target="https://clanpesca.com/prodotto/owner-split-ring-hyper-wire-5196/" TargetMode="External"/><Relationship Id="rId891" Type="http://schemas.openxmlformats.org/officeDocument/2006/relationships/hyperlink" Target="https://bassstoreitaly.com/it/panther-martin-ardito-spoon-2" TargetMode="External"/><Relationship Id="rId892" Type="http://schemas.openxmlformats.org/officeDocument/2006/relationships/hyperlink" Target="https://clanpesca.com/prodotto/panther-martin-ardito-spoon/" TargetMode="External"/><Relationship Id="rId893" Type="http://schemas.openxmlformats.org/officeDocument/2006/relationships/hyperlink" Target="https://bassstoreitaly.com/it/panther-martin-holographic-single-hook" TargetMode="External"/><Relationship Id="rId894" Type="http://schemas.openxmlformats.org/officeDocument/2006/relationships/hyperlink" Target="https://clanpesca.com/prodotto/panther-martin-holographic-single-hook/" TargetMode="External"/><Relationship Id="rId895" Type="http://schemas.openxmlformats.org/officeDocument/2006/relationships/hyperlink" Target="https://bassstoreitaly.com/it/panther-martin-hula-runner" TargetMode="External"/><Relationship Id="rId896" Type="http://schemas.openxmlformats.org/officeDocument/2006/relationships/hyperlink" Target="https://clanpesca.com/prodotto/panther-martin-hula-runner/" TargetMode="External"/><Relationship Id="rId897" Type="http://schemas.openxmlformats.org/officeDocument/2006/relationships/hyperlink" Target="https://bassstoreitaly.com/it/panther-martin-marmorata" TargetMode="External"/><Relationship Id="rId898" Type="http://schemas.openxmlformats.org/officeDocument/2006/relationships/hyperlink" Target="https://clanpesca.com/prodotto/panther-martin-marmorata/" TargetMode="External"/><Relationship Id="rId899" Type="http://schemas.openxmlformats.org/officeDocument/2006/relationships/hyperlink" Target="https://bassstoreitaly.com/it/panther-martin-vespa-originale" TargetMode="External"/><Relationship Id="rId900" Type="http://schemas.openxmlformats.org/officeDocument/2006/relationships/hyperlink" Target="https://clanpesca.com/prodotto/panther-martin-vespa-originale-gr-12/" TargetMode="External"/><Relationship Id="rId901" Type="http://schemas.openxmlformats.org/officeDocument/2006/relationships/hyperlink" Target="https://escaepescashop.it/prodotto/rapture-get-on-lure-case-bag/" TargetMode="External"/><Relationship Id="rId902" Type="http://schemas.openxmlformats.org/officeDocument/2006/relationships/hyperlink" Target="https://clanpesca.com/prodotto/rapture-get-on-lure-case-bag/" TargetMode="External"/><Relationship Id="rId903" Type="http://schemas.openxmlformats.org/officeDocument/2006/relationships/hyperlink" Target="https://bassstoreitaly.com/it/reins-g-tail-saturn" TargetMode="External"/><Relationship Id="rId904" Type="http://schemas.openxmlformats.org/officeDocument/2006/relationships/hyperlink" Target="https://clanpesca.com/prodotto/reins-g-tail-saturn-2-5/" TargetMode="External"/><Relationship Id="rId905" Type="http://schemas.openxmlformats.org/officeDocument/2006/relationships/hyperlink" Target="https://bassstoreitaly.com/it/reins-rockvibe-shad" TargetMode="External"/><Relationship Id="rId906" Type="http://schemas.openxmlformats.org/officeDocument/2006/relationships/hyperlink" Target="https://clanpesca.com/prodotto/reins-rockvibe-shad-2-3/" TargetMode="External"/><Relationship Id="rId907" Type="http://schemas.openxmlformats.org/officeDocument/2006/relationships/hyperlink" Target="https://bassstoreitaly.com/it/reins-s-cape-shad" TargetMode="External"/><Relationship Id="rId908" Type="http://schemas.openxmlformats.org/officeDocument/2006/relationships/hyperlink" Target="https://clanpesca.com/prodotto/reins-s-cape-shad-3-5/" TargetMode="External"/><Relationship Id="rId909" Type="http://schemas.openxmlformats.org/officeDocument/2006/relationships/hyperlink" Target="https://bassstoreitaly.com/it/reins-s-cape-shad" TargetMode="External"/><Relationship Id="rId910" Type="http://schemas.openxmlformats.org/officeDocument/2006/relationships/hyperlink" Target="https://clanpesca.com/prodotto/reins-s-cape-shad-4-8/" TargetMode="External"/><Relationship Id="rId911" Type="http://schemas.openxmlformats.org/officeDocument/2006/relationships/hyperlink" Target="https://bassstoreitaly.com/it/righetti-bait-system-stickworm" TargetMode="External"/><Relationship Id="rId912" Type="http://schemas.openxmlformats.org/officeDocument/2006/relationships/hyperlink" Target="https://clanpesca.com/prodotto/righetti-stickworm-cm-8-5/" TargetMode="External"/><Relationship Id="rId913" Type="http://schemas.openxmlformats.org/officeDocument/2006/relationships/hyperlink" Target="https://escaepescashop.it/prodotto/mulinello-ryobi-lagos/" TargetMode="External"/><Relationship Id="rId914" Type="http://schemas.openxmlformats.org/officeDocument/2006/relationships/hyperlink" Target="https://clanpesca.com/prodotto/mulinello-ryobi-lagos/" TargetMode="External"/><Relationship Id="rId915" Type="http://schemas.openxmlformats.org/officeDocument/2006/relationships/hyperlink" Target="https://escaepescashop.it/prodotto/canna-spinning-seika-kizuri-pro/" TargetMode="External"/><Relationship Id="rId916" Type="http://schemas.openxmlformats.org/officeDocument/2006/relationships/hyperlink" Target="https://clanpesca.com/prodotto/canna-seika-kizuri-pro/" TargetMode="External"/><Relationship Id="rId917" Type="http://schemas.openxmlformats.org/officeDocument/2006/relationships/hyperlink" Target="https://escaepescashop.it/prodotto/canna-troutarea-seika-utopia/" TargetMode="External"/><Relationship Id="rId918" Type="http://schemas.openxmlformats.org/officeDocument/2006/relationships/hyperlink" Target="https://clanpesca.com/prodotto/canna-seika-utopia/" TargetMode="External"/><Relationship Id="rId919" Type="http://schemas.openxmlformats.org/officeDocument/2006/relationships/hyperlink" Target="https://www.webpesca.it/shop/taglia-filo-seika-cutter-pro/" TargetMode="External"/><Relationship Id="rId920" Type="http://schemas.openxmlformats.org/officeDocument/2006/relationships/hyperlink" Target="https://clanpesca.com/prodotto/seika-cutter-pro/" TargetMode="External"/><Relationship Id="rId921" Type="http://schemas.openxmlformats.org/officeDocument/2006/relationships/hyperlink" Target="https://escaepescashop.it/prodotto/seika-borse-in-eva-predators-bag/" TargetMode="External"/><Relationship Id="rId922" Type="http://schemas.openxmlformats.org/officeDocument/2006/relationships/hyperlink" Target="https://clanpesca.com/prodotto/seika-predator-bag/" TargetMode="External"/><Relationship Id="rId923" Type="http://schemas.openxmlformats.org/officeDocument/2006/relationships/hyperlink" Target="https://www.webpesca.it/shop/yo-yo-seika-holder/" TargetMode="External"/><Relationship Id="rId924" Type="http://schemas.openxmlformats.org/officeDocument/2006/relationships/hyperlink" Target="https://clanpesca.com/prodotto/seika-yo-yo-holder/" TargetMode="External"/><Relationship Id="rId925" Type="http://schemas.openxmlformats.org/officeDocument/2006/relationships/hyperlink" Target="https://bassstoreitaly.com/it/stonfo-salvanelli-sbs-tipo-b" TargetMode="External"/><Relationship Id="rId926" Type="http://schemas.openxmlformats.org/officeDocument/2006/relationships/hyperlink" Target="https://clanpesca.com/prodotto/stonfo-salva-anelli/" TargetMode="External"/><Relationship Id="rId927" Type="http://schemas.openxmlformats.org/officeDocument/2006/relationships/hyperlink" Target="https://bassstoreitaly.com/it/strike-pro-bandit-tail" TargetMode="External"/><Relationship Id="rId928" Type="http://schemas.openxmlformats.org/officeDocument/2006/relationships/hyperlink" Target="https://clanpesca.com/prodotto/strike-pro-bandit-tail-cm-15-gr-83-5/" TargetMode="External"/><Relationship Id="rId929" Type="http://schemas.openxmlformats.org/officeDocument/2006/relationships/hyperlink" Target="https://bassstoreitaly.com/it/strike-pro-big-bandit-short-lip-crankbait" TargetMode="External"/><Relationship Id="rId930" Type="http://schemas.openxmlformats.org/officeDocument/2006/relationships/hyperlink" Target="https://clanpesca.com/prodotto/strike-pro-bandit-crank/" TargetMode="External"/><Relationship Id="rId931" Type="http://schemas.openxmlformats.org/officeDocument/2006/relationships/hyperlink" Target="https://bassstoreitaly.com/it/carson-tamura-chatter-bait" TargetMode="External"/><Relationship Id="rId932" Type="http://schemas.openxmlformats.org/officeDocument/2006/relationships/hyperlink" Target="https://clanpesca.com/prodotto/tamura-chatterbait/" TargetMode="External"/><Relationship Id="rId933" Type="http://schemas.openxmlformats.org/officeDocument/2006/relationships/hyperlink" Target="https://bassstoreitaly.com/it/carson-tamura-cranky-fat-long-lip" TargetMode="External"/><Relationship Id="rId934" Type="http://schemas.openxmlformats.org/officeDocument/2006/relationships/hyperlink" Target="https://clanpesca.com/prodotto/tamura-cranky-fat-long-lip/" TargetMode="External"/><Relationship Id="rId935" Type="http://schemas.openxmlformats.org/officeDocument/2006/relationships/hyperlink" Target="https://bassstoreitaly.com/it/carson-tamura-cranky-slim-f-lip" TargetMode="External"/><Relationship Id="rId936" Type="http://schemas.openxmlformats.org/officeDocument/2006/relationships/hyperlink" Target="https://clanpesca.com/prodotto/tamura-cranky-slim-f-lip-cm-6-3-gr-9-5/" TargetMode="External"/><Relationship Id="rId937" Type="http://schemas.openxmlformats.org/officeDocument/2006/relationships/hyperlink" Target="https://escaepescashop.it/prodotto/trabucco-dyna-tex-slk-x8-special-egi/" TargetMode="External"/><Relationship Id="rId938" Type="http://schemas.openxmlformats.org/officeDocument/2006/relationships/hyperlink" Target="https://clanpesca.com/prodotto/trabucco-trecciato-dyna-tex-slk-x8-150-mt/" TargetMode="External"/><Relationship Id="rId939" Type="http://schemas.openxmlformats.org/officeDocument/2006/relationships/hyperlink" Target="https://escaepescashop.it/prodotto/tubertini-borsa-offshore-550/" TargetMode="External"/><Relationship Id="rId940" Type="http://schemas.openxmlformats.org/officeDocument/2006/relationships/hyperlink" Target="https://clanpesca.com/prodotto/borsa-tubertini-offshore-550/" TargetMode="External"/><Relationship Id="rId941" Type="http://schemas.openxmlformats.org/officeDocument/2006/relationships/hyperlink" Target="https://www.megafish.it/borse-e-zaini/6956-tubertini-astuccio-offshore-h-bag.html" TargetMode="External"/><Relationship Id="rId942" Type="http://schemas.openxmlformats.org/officeDocument/2006/relationships/hyperlink" Target="https://clanpesca.com/prodotto/borsa-tubertini-offshore-550/" TargetMode="External"/><Relationship Id="rId943" Type="http://schemas.openxmlformats.org/officeDocument/2006/relationships/hyperlink" Target="https://www.pescamia.eu/product-page/tubertini-fodero-offshore-surf-402" TargetMode="External"/><Relationship Id="rId944" Type="http://schemas.openxmlformats.org/officeDocument/2006/relationships/hyperlink" Target="https://clanpesca.com/prodotto/borsa-tubertini-offshore-550/" TargetMode="External"/><Relationship Id="rId945" Type="http://schemas.openxmlformats.org/officeDocument/2006/relationships/hyperlink" Target="https://www.webpesca.it/shop/borsone-tubertini-offshore-550/" TargetMode="External"/><Relationship Id="rId946" Type="http://schemas.openxmlformats.org/officeDocument/2006/relationships/hyperlink" Target="https://clanpesca.com/prodotto/borsa-tubertini-offshore-550/" TargetMode="External"/><Relationship Id="rId947" Type="http://schemas.openxmlformats.org/officeDocument/2006/relationships/hyperlink" Target="https://escaepescashop.it/prodotto/canna-tubertini-ionic-2-tls/" TargetMode="External"/><Relationship Id="rId948" Type="http://schemas.openxmlformats.org/officeDocument/2006/relationships/hyperlink" Target="https://clanpesca.com/prodotto/canna-tubertini-ionic-2-tls/" TargetMode="External"/><Relationship Id="rId949" Type="http://schemas.openxmlformats.org/officeDocument/2006/relationships/hyperlink" Target="https://www.megafish.it/canne-surfcasting/7204-tubertini-ionic-2-tls.html" TargetMode="External"/><Relationship Id="rId950" Type="http://schemas.openxmlformats.org/officeDocument/2006/relationships/hyperlink" Target="https://clanpesca.com/prodotto/canna-tubertini-ionic-2-tls/" TargetMode="External"/><Relationship Id="rId951" Type="http://schemas.openxmlformats.org/officeDocument/2006/relationships/hyperlink" Target="https://www.pescamia.eu/product-page/tubertini-ionic-2-tls-4-25-metri-100-gr-canna-surfcasting" TargetMode="External"/><Relationship Id="rId952" Type="http://schemas.openxmlformats.org/officeDocument/2006/relationships/hyperlink" Target="https://clanpesca.com/prodotto/canna-tubertini-ionic-2-tls/" TargetMode="External"/><Relationship Id="rId953" Type="http://schemas.openxmlformats.org/officeDocument/2006/relationships/hyperlink" Target="https://escaepescashop.it/prodotto/tubertini-sylan/" TargetMode="External"/><Relationship Id="rId954" Type="http://schemas.openxmlformats.org/officeDocument/2006/relationships/hyperlink" Target="https://clanpesca.com/prodotto/canna-tubertini-sylan/" TargetMode="External"/><Relationship Id="rId955" Type="http://schemas.openxmlformats.org/officeDocument/2006/relationships/hyperlink" Target="https://pescapromo.it/t/mulinelli/mulinelli-da-spinning-tubertini-ryobi-hylas-fd" TargetMode="External"/><Relationship Id="rId956" Type="http://schemas.openxmlformats.org/officeDocument/2006/relationships/hyperlink" Target="https://clanpesca.com/prodotto/tubertini-hylas-fd/" TargetMode="External"/><Relationship Id="rId957" Type="http://schemas.openxmlformats.org/officeDocument/2006/relationships/hyperlink" Target="https://escaepescashop.it/prodotto/tubertini-borsa-titan/" TargetMode="External"/><Relationship Id="rId958" Type="http://schemas.openxmlformats.org/officeDocument/2006/relationships/hyperlink" Target="https://clanpesca.com/prodotto/tubertini-borsa-titan/" TargetMode="External"/><Relationship Id="rId959" Type="http://schemas.openxmlformats.org/officeDocument/2006/relationships/hyperlink" Target="https://www.pescamia.eu/product-page/tubertini-bos-fluorocarbon-bobina-50-mt" TargetMode="External"/><Relationship Id="rId960" Type="http://schemas.openxmlformats.org/officeDocument/2006/relationships/hyperlink" Target="https://clanpesca.com/prodotto/tubertini-bos-fluorocarbon-50-mt/" TargetMode="External"/><Relationship Id="rId961" Type="http://schemas.openxmlformats.org/officeDocument/2006/relationships/hyperlink" Target="https://www.megafish.it/canne-da-trota-lago/6698-tubertini-maniac-trout-4200-ar.html" TargetMode="External"/><Relationship Id="rId962" Type="http://schemas.openxmlformats.org/officeDocument/2006/relationships/hyperlink" Target="https://clanpesca.com/prodotto/canna-trota-lago-tubertini-maniac-4200-ar-3-12-g/" TargetMode="External"/><Relationship Id="rId963" Type="http://schemas.openxmlformats.org/officeDocument/2006/relationships/hyperlink" Target="https://escaepescashop.it/prodotto/canna-traina-tubertini-crossover-2/" TargetMode="External"/><Relationship Id="rId964" Type="http://schemas.openxmlformats.org/officeDocument/2006/relationships/hyperlink" Target="https://clanpesca.com/prodotto/tubetini-crossover-2-mt-2-20-lb-6-12/" TargetMode="External"/><Relationship Id="rId965" Type="http://schemas.openxmlformats.org/officeDocument/2006/relationships/hyperlink" Target="https://www.megafish.it/trainabig-game/6285-tubertini-crossover-2.html" TargetMode="External"/><Relationship Id="rId966" Type="http://schemas.openxmlformats.org/officeDocument/2006/relationships/hyperlink" Target="https://clanpesca.com/prodotto/tubetini-crossover-2-mt-2-20-lb-6-12/" TargetMode="External"/><Relationship Id="rId967" Type="http://schemas.openxmlformats.org/officeDocument/2006/relationships/hyperlink" Target="https://www.pescamia.eu/product-page/tubertini-crossover-2-canna-traina-costiera" TargetMode="External"/><Relationship Id="rId968" Type="http://schemas.openxmlformats.org/officeDocument/2006/relationships/hyperlink" Target="https://clanpesca.com/prodotto/tubetini-crossover-2-mt-2-20-lb-6-12/" TargetMode="External"/><Relationship Id="rId969" Type="http://schemas.openxmlformats.org/officeDocument/2006/relationships/hyperlink" Target="https://www.webpesca.it/shop/canna-drifting-tubertini-crossover-2-2-20-mt-6-12-lbs/" TargetMode="External"/><Relationship Id="rId970" Type="http://schemas.openxmlformats.org/officeDocument/2006/relationships/hyperlink" Target="https://clanpesca.com/prodotto/tubetini-crossover-2-mt-2-20-lb-6-12/" TargetMode="External"/><Relationship Id="rId971" Type="http://schemas.openxmlformats.org/officeDocument/2006/relationships/hyperlink" Target="https://escaepescashop.it/prodotto/tubertini-borsa-enduro-bag/" TargetMode="External"/><Relationship Id="rId972" Type="http://schemas.openxmlformats.org/officeDocument/2006/relationships/hyperlink" Target="https://clanpesca.com/prodotto/tubertini-enduro-bag/" TargetMode="External"/><Relationship Id="rId973" Type="http://schemas.openxmlformats.org/officeDocument/2006/relationships/hyperlink" Target="https://escaepescashop.it/prodotto/tubertini-express-feeder/" TargetMode="External"/><Relationship Id="rId974" Type="http://schemas.openxmlformats.org/officeDocument/2006/relationships/hyperlink" Target="https://clanpesca.com/prodotto/tubertini-express-feeder-ft-11-gr-60-2/" TargetMode="External"/><Relationship Id="rId975" Type="http://schemas.openxmlformats.org/officeDocument/2006/relationships/hyperlink" Target="https://www.webpesca.it/shop/canna-feeder-tubertini-express-feeder-2-70-mt-40-gr/" TargetMode="External"/><Relationship Id="rId976" Type="http://schemas.openxmlformats.org/officeDocument/2006/relationships/hyperlink" Target="https://clanpesca.com/prodotto/tubertini-express-feeder-ft-11-gr-60-2/" TargetMode="External"/><Relationship Id="rId977" Type="http://schemas.openxmlformats.org/officeDocument/2006/relationships/hyperlink" Target="https://escaepescashop.it/prodotto/tubertini-fodero-cesena-150/" TargetMode="External"/><Relationship Id="rId978" Type="http://schemas.openxmlformats.org/officeDocument/2006/relationships/hyperlink" Target="https://clanpesca.com/prodotto/tubertini-fodero-cesena/" TargetMode="External"/><Relationship Id="rId979" Type="http://schemas.openxmlformats.org/officeDocument/2006/relationships/hyperlink" Target="https://escaepescashop.it/prodotto/tubertini-fodero-forli-1t/" TargetMode="External"/><Relationship Id="rId980" Type="http://schemas.openxmlformats.org/officeDocument/2006/relationships/hyperlink" Target="https://clanpesca.com/prodotto/tubertini-fodero-forli/" TargetMode="External"/><Relationship Id="rId981" Type="http://schemas.openxmlformats.org/officeDocument/2006/relationships/hyperlink" Target="https://www.megafish.it/foderi-portacanne-pesca/6158-tubertini-fodero-jocker-1.html" TargetMode="External"/><Relationship Id="rId982" Type="http://schemas.openxmlformats.org/officeDocument/2006/relationships/hyperlink" Target="https://clanpesca.com/prodotto/tubertini-fodero-jocker-1/" TargetMode="External"/><Relationship Id="rId983" Type="http://schemas.openxmlformats.org/officeDocument/2006/relationships/hyperlink" Target="https://escaepescashop.it/prodotto/tubertini-surfcasting-kaliber-surf/" TargetMode="External"/><Relationship Id="rId984" Type="http://schemas.openxmlformats.org/officeDocument/2006/relationships/hyperlink" Target="https://clanpesca.com/prodotto/tubertini-kaliber-surf/" TargetMode="External"/><Relationship Id="rId985" Type="http://schemas.openxmlformats.org/officeDocument/2006/relationships/hyperlink" Target="https://www.megafish.it/canne-surfcasting/6284-tubertini-kaliber-surf-420-mt.html" TargetMode="External"/><Relationship Id="rId986" Type="http://schemas.openxmlformats.org/officeDocument/2006/relationships/hyperlink" Target="https://clanpesca.com/prodotto/tubertini-kaliber-surf/" TargetMode="External"/><Relationship Id="rId987" Type="http://schemas.openxmlformats.org/officeDocument/2006/relationships/hyperlink" Target="https://www.pescamia.eu/product-page/tubertini-kaliber-surf-canna-telescopica-surfcasting" TargetMode="External"/><Relationship Id="rId988" Type="http://schemas.openxmlformats.org/officeDocument/2006/relationships/hyperlink" Target="https://clanpesca.com/prodotto/tubertini-kaliber-surf/" TargetMode="External"/><Relationship Id="rId989" Type="http://schemas.openxmlformats.org/officeDocument/2006/relationships/hyperlink" Target="https://escaepescashop.it/prodotto/bolognese-tubertini-level-chrome/" TargetMode="External"/><Relationship Id="rId990" Type="http://schemas.openxmlformats.org/officeDocument/2006/relationships/hyperlink" Target="https://clanpesca.com/prodotto/tubertini-level-chrome/" TargetMode="External"/><Relationship Id="rId991" Type="http://schemas.openxmlformats.org/officeDocument/2006/relationships/hyperlink" Target="https://www.pescamia.eu/product-page/tubertini-level-chrome-canna-bolognese" TargetMode="External"/><Relationship Id="rId992" Type="http://schemas.openxmlformats.org/officeDocument/2006/relationships/hyperlink" Target="https://clanpesca.com/prodotto/tubertini-level-chrome/" TargetMode="External"/><Relationship Id="rId993" Type="http://schemas.openxmlformats.org/officeDocument/2006/relationships/hyperlink" Target="https://www.megafish.it/valigette-e-contenitori/2957-tubertini-maggi-box-2-lt.html" TargetMode="External"/><Relationship Id="rId994" Type="http://schemas.openxmlformats.org/officeDocument/2006/relationships/hyperlink" Target="https://clanpesca.com/prodotto/tubertini-maggi-box/" TargetMode="External"/><Relationship Id="rId995" Type="http://schemas.openxmlformats.org/officeDocument/2006/relationships/hyperlink" Target="https://www.pescamia.eu/product-page/tubertini-mulinello-wasp" TargetMode="External"/><Relationship Id="rId996" Type="http://schemas.openxmlformats.org/officeDocument/2006/relationships/hyperlink" Target="https://clanpesca.com/prodotto/tubertini-mulinello-wasp/" TargetMode="External"/><Relationship Id="rId997" Type="http://schemas.openxmlformats.org/officeDocument/2006/relationships/hyperlink" Target="https://escaepescashop.it/prodotto/mulinello-tubertini-xide/" TargetMode="External"/><Relationship Id="rId998" Type="http://schemas.openxmlformats.org/officeDocument/2006/relationships/hyperlink" Target="https://clanpesca.com/prodotto/tubertini-mulinello-xide/" TargetMode="External"/><Relationship Id="rId999" Type="http://schemas.openxmlformats.org/officeDocument/2006/relationships/hyperlink" Target="https://www.megafish.it/nylon-da-pesca/6948-tubertini-noway-50-mt.html" TargetMode="External"/><Relationship Id="rId1000" Type="http://schemas.openxmlformats.org/officeDocument/2006/relationships/hyperlink" Target="https://clanpesca.com/prodotto/tubertini-noway-mt-50/" TargetMode="External"/><Relationship Id="rId1001" Type="http://schemas.openxmlformats.org/officeDocument/2006/relationships/hyperlink" Target="https://escaepescashop.it/prodotto/tubertini-offshore-t-bag/" TargetMode="External"/><Relationship Id="rId1002" Type="http://schemas.openxmlformats.org/officeDocument/2006/relationships/hyperlink" Target="https://clanpesca.com/prodotto/tubertini-offshore-bag/" TargetMode="External"/><Relationship Id="rId1003" Type="http://schemas.openxmlformats.org/officeDocument/2006/relationships/hyperlink" Target="https://www.megafish.it/borse-e-zaini/6956-tubertini-astuccio-offshore-h-bag.html" TargetMode="External"/><Relationship Id="rId1004" Type="http://schemas.openxmlformats.org/officeDocument/2006/relationships/hyperlink" Target="https://clanpesca.com/prodotto/tubertini-offshore-bag/" TargetMode="External"/><Relationship Id="rId1005" Type="http://schemas.openxmlformats.org/officeDocument/2006/relationships/hyperlink" Target="https://escaepescashop.it/prodotto/tubertini-pencil-feeder/" TargetMode="External"/><Relationship Id="rId1006" Type="http://schemas.openxmlformats.org/officeDocument/2006/relationships/hyperlink" Target="https://clanpesca.com/prodotto/tubertini-pencil-feeder/" TargetMode="External"/><Relationship Id="rId1007" Type="http://schemas.openxmlformats.org/officeDocument/2006/relationships/hyperlink" Target="https://escaepescashop.it/prodotto/canna-tubertini-performer-xs/" TargetMode="External"/><Relationship Id="rId1008" Type="http://schemas.openxmlformats.org/officeDocument/2006/relationships/hyperlink" Target="https://clanpesca.com/prodotto/tubertini-performer/" TargetMode="External"/><Relationship Id="rId1009" Type="http://schemas.openxmlformats.org/officeDocument/2006/relationships/hyperlink" Target="https://www.pescamia.eu/product-page/tubertini-performer-xs-canna-beach-ledgering" TargetMode="External"/><Relationship Id="rId1010" Type="http://schemas.openxmlformats.org/officeDocument/2006/relationships/hyperlink" Target="https://clanpesca.com/prodotto/tubertini-performer/" TargetMode="External"/><Relationship Id="rId1011" Type="http://schemas.openxmlformats.org/officeDocument/2006/relationships/hyperlink" Target="https://www.webpesca.it/shop/canna-surfcasting-tubertini-performer-4-50-mt-100-200-gr/" TargetMode="External"/><Relationship Id="rId1012" Type="http://schemas.openxmlformats.org/officeDocument/2006/relationships/hyperlink" Target="https://clanpesca.com/prodotto/tubertini-performer/" TargetMode="External"/><Relationship Id="rId1013" Type="http://schemas.openxmlformats.org/officeDocument/2006/relationships/hyperlink" Target="https://www.megafish.it/guadini-e-nasse-pesca/6778-manico-guadino-tubertini-raider-handle.html" TargetMode="External"/><Relationship Id="rId1014" Type="http://schemas.openxmlformats.org/officeDocument/2006/relationships/hyperlink" Target="https://clanpesca.com/prodotto/tubertini-raider-handle/" TargetMode="External"/><Relationship Id="rId1015" Type="http://schemas.openxmlformats.org/officeDocument/2006/relationships/hyperlink" Target="https://www.pescamia.eu/product-page/tubertini-raion" TargetMode="External"/><Relationship Id="rId1016" Type="http://schemas.openxmlformats.org/officeDocument/2006/relationships/hyperlink" Target="https://clanpesca.com/prodotto/tubertini-raion-mt-150/" TargetMode="External"/><Relationship Id="rId1017" Type="http://schemas.openxmlformats.org/officeDocument/2006/relationships/hyperlink" Target="https://escaepescashop.it/prodotto/tubertini-sea-master/" TargetMode="External"/><Relationship Id="rId1018" Type="http://schemas.openxmlformats.org/officeDocument/2006/relationships/hyperlink" Target="https://clanpesca.com/prodotto/tubertini-sea-master/" TargetMode="External"/><Relationship Id="rId1019" Type="http://schemas.openxmlformats.org/officeDocument/2006/relationships/hyperlink" Target="https://www.megafish.it/trainabig-game/6286-tubertini-sea-master.html" TargetMode="External"/><Relationship Id="rId1020" Type="http://schemas.openxmlformats.org/officeDocument/2006/relationships/hyperlink" Target="https://clanpesca.com/prodotto/tubertini-sea-master/" TargetMode="External"/><Relationship Id="rId1021" Type="http://schemas.openxmlformats.org/officeDocument/2006/relationships/hyperlink" Target="https://www.pescamia.eu/product-page/tubertini-sea-master-canna-traina-costiera" TargetMode="External"/><Relationship Id="rId1022" Type="http://schemas.openxmlformats.org/officeDocument/2006/relationships/hyperlink" Target="https://clanpesca.com/prodotto/tubertini-sea-master/" TargetMode="External"/><Relationship Id="rId1023" Type="http://schemas.openxmlformats.org/officeDocument/2006/relationships/hyperlink" Target="https://www.pescamia.eu/product-page/tubertini-monofilo-tatanka-evo-silver-1000-m-diametro-0-20" TargetMode="External"/><Relationship Id="rId1024" Type="http://schemas.openxmlformats.org/officeDocument/2006/relationships/hyperlink" Target="https://clanpesca.com/prodotto/tubertini-tatanka-evo-mt-150/" TargetMode="External"/><Relationship Id="rId1025" Type="http://schemas.openxmlformats.org/officeDocument/2006/relationships/hyperlink" Target="https://escaepescashop.it/prodotto/tubertini-testa-guadino-impact/" TargetMode="External"/><Relationship Id="rId1026" Type="http://schemas.openxmlformats.org/officeDocument/2006/relationships/hyperlink" Target="https://clanpesca.com/prodotto/tubertini-testa-di-guadino-impact/" TargetMode="External"/><Relationship Id="rId1027" Type="http://schemas.openxmlformats.org/officeDocument/2006/relationships/hyperlink" Target="https://www.pescamia.eu/product-page/tubertini-mulinello-vertigo-black" TargetMode="External"/><Relationship Id="rId1028" Type="http://schemas.openxmlformats.org/officeDocument/2006/relationships/hyperlink" Target="https://clanpesca.com/prodotto/tubertini-vertigo-black/" TargetMode="External"/><Relationship Id="rId1029" Type="http://schemas.openxmlformats.org/officeDocument/2006/relationships/hyperlink" Target="https://escaepescashop.it/prodotto/canna-traina-tubertini-vitality-light/" TargetMode="External"/><Relationship Id="rId1030" Type="http://schemas.openxmlformats.org/officeDocument/2006/relationships/hyperlink" Target="https://clanpesca.com/prodotto/tubertini-vitality-2-mt-2-10-lb-12-20/" TargetMode="External"/><Relationship Id="rId1031" Type="http://schemas.openxmlformats.org/officeDocument/2006/relationships/hyperlink" Target="https://www.megafish.it/trainabig-game/6303-tubertini-vitality-2-tuna.html" TargetMode="External"/><Relationship Id="rId1032" Type="http://schemas.openxmlformats.org/officeDocument/2006/relationships/hyperlink" Target="https://clanpesca.com/prodotto/tubertini-vitality-2-mt-2-10-lb-12-20/" TargetMode="External"/><Relationship Id="rId1033" Type="http://schemas.openxmlformats.org/officeDocument/2006/relationships/hyperlink" Target="https://www.megafish.it/trainabig-game/6303-tubertini-vitality-2-tuna.html" TargetMode="External"/><Relationship Id="rId1034" Type="http://schemas.openxmlformats.org/officeDocument/2006/relationships/hyperlink" Target="https://clanpesca.com/prodotto/tubertini-vitality-tuna-mt-2-00-lb-30-50/" TargetMode="External"/><Relationship Id="rId1035" Type="http://schemas.openxmlformats.org/officeDocument/2006/relationships/hyperlink" Target="https://bassstoreitaly.com/it/vision-dobb-daddy-spin-fly" TargetMode="External"/><Relationship Id="rId1036" Type="http://schemas.openxmlformats.org/officeDocument/2006/relationships/hyperlink" Target="https://clanpesca.com/prodotto/dobb-daddy-dobb/" TargetMode="External"/><Relationship Id="rId1037" Type="http://schemas.openxmlformats.org/officeDocument/2006/relationships/hyperlink" Target="https://bassstoreitaly.com/it/vision-dobb-daddy-spin-fly" TargetMode="External"/><Relationship Id="rId1038" Type="http://schemas.openxmlformats.org/officeDocument/2006/relationships/hyperlink" Target="https://clanpesca.com/prodotto/vision-spinfly-dobb-daddy-cm-28-gr-24/" TargetMode="External"/><Relationship Id="rId1039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3" min="3" style="0" width="15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1084</v>
      </c>
    </row>
    <row r="6" customFormat="false" ht="15" hidden="false" customHeight="false" outlineLevel="0" collapsed="false">
      <c r="B6" s="3" t="s">
        <v>3</v>
      </c>
      <c r="C6" s="4" t="n">
        <v>327</v>
      </c>
    </row>
    <row r="7" customFormat="false" ht="15" hidden="false" customHeight="false" outlineLevel="0" collapsed="false">
      <c r="B7" s="3" t="s">
        <v>4</v>
      </c>
      <c r="C7" s="4" t="n">
        <f aca="false">COUNTA(Dettaglio!A2:A520)</f>
        <v>519</v>
      </c>
    </row>
    <row r="8" customFormat="false" ht="15" hidden="false" customHeight="false" outlineLevel="0" collapsed="false">
      <c r="B8" s="3" t="s">
        <v>5</v>
      </c>
      <c r="C8" s="4" t="n">
        <v>250</v>
      </c>
    </row>
    <row r="9" customFormat="false" ht="15" hidden="false" customHeight="false" outlineLevel="0" collapsed="false">
      <c r="B9" s="3" t="s">
        <v>6</v>
      </c>
      <c r="C9" s="4" t="n">
        <v>31</v>
      </c>
    </row>
    <row r="10" customFormat="false" ht="15" hidden="false" customHeight="false" outlineLevel="0" collapsed="false">
      <c r="B10" s="3" t="s">
        <v>7</v>
      </c>
      <c r="C10" s="4" t="n">
        <v>46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3" min="12" style="0" width="11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25.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</row>
    <row r="2" customFormat="false" ht="15" hidden="false" customHeight="fals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7" t="n">
        <v>299.99</v>
      </c>
      <c r="F2" s="7" t="n">
        <v>299.99</v>
      </c>
      <c r="G2" s="6" t="s">
        <v>31</v>
      </c>
      <c r="H2" s="7" t="n">
        <v>299.99</v>
      </c>
      <c r="I2" s="7"/>
      <c r="J2" s="7"/>
      <c r="K2" s="6" t="s">
        <v>32</v>
      </c>
      <c r="L2" s="6" t="s">
        <v>33</v>
      </c>
      <c r="M2" s="8" t="n">
        <f aca="false">IF(H2&lt;E2,(E2-H2)/H2,IF(H2&gt;F2,(F2-H2)/H2,0))</f>
        <v>0</v>
      </c>
      <c r="N2" s="9" t="s">
        <v>34</v>
      </c>
      <c r="O2" s="9" t="s">
        <v>34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s">
        <v>37</v>
      </c>
      <c r="D3" s="6" t="s">
        <v>38</v>
      </c>
      <c r="E3" s="7" t="n">
        <v>10.5</v>
      </c>
      <c r="F3" s="7" t="n">
        <v>14.9</v>
      </c>
      <c r="G3" s="6" t="s">
        <v>31</v>
      </c>
      <c r="H3" s="7" t="n">
        <v>7.39</v>
      </c>
      <c r="I3" s="7"/>
      <c r="J3" s="7"/>
      <c r="K3" s="6" t="s">
        <v>32</v>
      </c>
      <c r="L3" s="6" t="s">
        <v>33</v>
      </c>
      <c r="M3" s="8" t="n">
        <f aca="false">IF(H3&lt;E3,(E3-H3)/H3,IF(H3&gt;F3,(F3-H3)/H3,0))</f>
        <v>0.420838971583221</v>
      </c>
      <c r="N3" s="9" t="s">
        <v>34</v>
      </c>
      <c r="O3" s="9" t="s">
        <v>34</v>
      </c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7" t="n">
        <v>10.5</v>
      </c>
      <c r="F4" s="7" t="n">
        <v>14.9</v>
      </c>
      <c r="G4" s="6" t="s">
        <v>39</v>
      </c>
      <c r="H4" s="7" t="n">
        <v>7.95</v>
      </c>
      <c r="I4" s="7"/>
      <c r="J4" s="7"/>
      <c r="K4" s="6" t="s">
        <v>40</v>
      </c>
      <c r="L4" s="6" t="s">
        <v>33</v>
      </c>
      <c r="M4" s="8" t="n">
        <f aca="false">IF(H4&lt;E4,(E4-H4)/H4,IF(H4&gt;F4,(F4-H4)/H4,0))</f>
        <v>0.320754716981132</v>
      </c>
      <c r="N4" s="9" t="s">
        <v>34</v>
      </c>
      <c r="O4" s="9" t="s">
        <v>34</v>
      </c>
    </row>
    <row r="5" customFormat="false" ht="15" hidden="false" customHeight="false" outlineLevel="0" collapsed="false">
      <c r="A5" s="6" t="s">
        <v>41</v>
      </c>
      <c r="B5" s="6" t="s">
        <v>36</v>
      </c>
      <c r="C5" s="6" t="s">
        <v>42</v>
      </c>
      <c r="D5" s="6" t="s">
        <v>38</v>
      </c>
      <c r="E5" s="7" t="n">
        <v>7.9</v>
      </c>
      <c r="F5" s="7" t="n">
        <v>10</v>
      </c>
      <c r="G5" s="6" t="s">
        <v>31</v>
      </c>
      <c r="H5" s="7" t="n">
        <v>6.08</v>
      </c>
      <c r="I5" s="7"/>
      <c r="J5" s="7"/>
      <c r="K5" s="6" t="s">
        <v>32</v>
      </c>
      <c r="L5" s="6" t="s">
        <v>33</v>
      </c>
      <c r="M5" s="8" t="n">
        <f aca="false">IF(H5&lt;E5,(E5-H5)/H5,IF(H5&gt;F5,(F5-H5)/H5,0))</f>
        <v>0.299342105263158</v>
      </c>
      <c r="N5" s="9" t="s">
        <v>34</v>
      </c>
      <c r="O5" s="9" t="s">
        <v>34</v>
      </c>
    </row>
    <row r="6" customFormat="false" ht="15" hidden="false" customHeight="false" outlineLevel="0" collapsed="false">
      <c r="A6" s="6" t="s">
        <v>43</v>
      </c>
      <c r="B6" s="6" t="s">
        <v>36</v>
      </c>
      <c r="C6" s="6" t="s">
        <v>44</v>
      </c>
      <c r="D6" s="6" t="s">
        <v>30</v>
      </c>
      <c r="E6" s="7" t="n">
        <v>8.9</v>
      </c>
      <c r="F6" s="7" t="n">
        <v>8.9</v>
      </c>
      <c r="G6" s="6" t="s">
        <v>39</v>
      </c>
      <c r="H6" s="7" t="n">
        <v>8.95</v>
      </c>
      <c r="I6" s="7"/>
      <c r="J6" s="7"/>
      <c r="K6" s="6" t="s">
        <v>32</v>
      </c>
      <c r="L6" s="6" t="s">
        <v>45</v>
      </c>
      <c r="M6" s="8" t="n">
        <f aca="false">IF(H6&lt;E6,(E6-H6)/H6,IF(H6&gt;F6,(F6-H6)/H6,0))</f>
        <v>-0.00558659217877083</v>
      </c>
      <c r="N6" s="9" t="s">
        <v>34</v>
      </c>
      <c r="O6" s="9" t="s">
        <v>34</v>
      </c>
    </row>
    <row r="7" customFormat="false" ht="15" hidden="false" customHeight="false" outlineLevel="0" collapsed="false">
      <c r="A7" s="6" t="s">
        <v>46</v>
      </c>
      <c r="B7" s="6" t="s">
        <v>36</v>
      </c>
      <c r="C7" s="6" t="s">
        <v>47</v>
      </c>
      <c r="D7" s="6" t="s">
        <v>30</v>
      </c>
      <c r="E7" s="7" t="n">
        <v>9.9</v>
      </c>
      <c r="F7" s="7" t="n">
        <v>9.9</v>
      </c>
      <c r="G7" s="6" t="s">
        <v>39</v>
      </c>
      <c r="H7" s="7" t="n">
        <v>7.95</v>
      </c>
      <c r="I7" s="7"/>
      <c r="J7" s="7"/>
      <c r="K7" s="6" t="s">
        <v>32</v>
      </c>
      <c r="L7" s="6" t="s">
        <v>33</v>
      </c>
      <c r="M7" s="8" t="n">
        <f aca="false">IF(H7&lt;E7,(E7-H7)/H7,IF(H7&gt;F7,(F7-H7)/H7,0))</f>
        <v>0.245283018867925</v>
      </c>
      <c r="N7" s="9" t="s">
        <v>34</v>
      </c>
      <c r="O7" s="9" t="s">
        <v>34</v>
      </c>
    </row>
    <row r="8" customFormat="false" ht="15" hidden="false" customHeight="false" outlineLevel="0" collapsed="false">
      <c r="A8" s="6" t="s">
        <v>48</v>
      </c>
      <c r="B8" s="6" t="s">
        <v>36</v>
      </c>
      <c r="C8" s="6" t="s">
        <v>49</v>
      </c>
      <c r="D8" s="6" t="s">
        <v>30</v>
      </c>
      <c r="E8" s="7" t="n">
        <v>5.5</v>
      </c>
      <c r="F8" s="7" t="n">
        <v>5.5</v>
      </c>
      <c r="G8" s="6" t="s">
        <v>31</v>
      </c>
      <c r="H8" s="7" t="n">
        <v>5.2</v>
      </c>
      <c r="I8" s="7"/>
      <c r="J8" s="7"/>
      <c r="K8" s="6" t="s">
        <v>40</v>
      </c>
      <c r="L8" s="6" t="s">
        <v>33</v>
      </c>
      <c r="M8" s="8" t="n">
        <f aca="false">IF(H8&lt;E8,(E8-H8)/H8,IF(H8&gt;F8,(F8-H8)/H8,0))</f>
        <v>0.0576923076923077</v>
      </c>
      <c r="N8" s="9" t="s">
        <v>34</v>
      </c>
      <c r="O8" s="9" t="s">
        <v>34</v>
      </c>
    </row>
    <row r="9" customFormat="false" ht="15" hidden="false" customHeight="false" outlineLevel="0" collapsed="false">
      <c r="A9" s="6" t="s">
        <v>48</v>
      </c>
      <c r="B9" s="6" t="s">
        <v>36</v>
      </c>
      <c r="C9" s="6" t="s">
        <v>49</v>
      </c>
      <c r="D9" s="6" t="s">
        <v>30</v>
      </c>
      <c r="E9" s="7" t="n">
        <v>5.5</v>
      </c>
      <c r="F9" s="7" t="n">
        <v>5.5</v>
      </c>
      <c r="G9" s="6" t="s">
        <v>39</v>
      </c>
      <c r="H9" s="7" t="n">
        <v>3.49</v>
      </c>
      <c r="I9" s="7"/>
      <c r="J9" s="7"/>
      <c r="K9" s="6" t="s">
        <v>40</v>
      </c>
      <c r="L9" s="6" t="s">
        <v>33</v>
      </c>
      <c r="M9" s="8" t="n">
        <f aca="false">IF(H9&lt;E9,(E9-H9)/H9,IF(H9&gt;F9,(F9-H9)/H9,0))</f>
        <v>0.57593123209169</v>
      </c>
      <c r="N9" s="9" t="s">
        <v>34</v>
      </c>
      <c r="O9" s="9" t="s">
        <v>34</v>
      </c>
    </row>
    <row r="10" customFormat="false" ht="15" hidden="false" customHeight="false" outlineLevel="0" collapsed="false">
      <c r="A10" s="6" t="s">
        <v>50</v>
      </c>
      <c r="B10" s="6" t="s">
        <v>36</v>
      </c>
      <c r="C10" s="6" t="s">
        <v>51</v>
      </c>
      <c r="D10" s="6" t="s">
        <v>52</v>
      </c>
      <c r="E10" s="7" t="n">
        <v>5.99</v>
      </c>
      <c r="F10" s="7" t="n">
        <v>5.99</v>
      </c>
      <c r="G10" s="6" t="s">
        <v>31</v>
      </c>
      <c r="H10" s="7" t="n">
        <v>5.99</v>
      </c>
      <c r="I10" s="7"/>
      <c r="J10" s="7"/>
      <c r="K10" s="6" t="s">
        <v>32</v>
      </c>
      <c r="L10" s="6" t="s">
        <v>45</v>
      </c>
      <c r="M10" s="8" t="n">
        <f aca="false">IF(H10&lt;E10,(E10-H10)/H10,IF(H10&gt;F10,(F10-H10)/H10,0))</f>
        <v>0</v>
      </c>
      <c r="N10" s="9" t="s">
        <v>34</v>
      </c>
      <c r="O10" s="9" t="s">
        <v>34</v>
      </c>
    </row>
    <row r="11" customFormat="false" ht="15" hidden="false" customHeight="false" outlineLevel="0" collapsed="false">
      <c r="A11" s="6" t="s">
        <v>50</v>
      </c>
      <c r="B11" s="6" t="s">
        <v>36</v>
      </c>
      <c r="C11" s="6" t="s">
        <v>51</v>
      </c>
      <c r="D11" s="6" t="s">
        <v>52</v>
      </c>
      <c r="E11" s="7" t="n">
        <v>5.99</v>
      </c>
      <c r="F11" s="7" t="n">
        <v>5.99</v>
      </c>
      <c r="G11" s="6" t="s">
        <v>39</v>
      </c>
      <c r="H11" s="7" t="n">
        <v>5.95</v>
      </c>
      <c r="I11" s="7"/>
      <c r="J11" s="7"/>
      <c r="K11" s="6" t="s">
        <v>40</v>
      </c>
      <c r="L11" s="6" t="s">
        <v>45</v>
      </c>
      <c r="M11" s="8" t="n">
        <f aca="false">IF(H11&lt;E11,(E11-H11)/H11,IF(H11&gt;F11,(F11-H11)/H11,0))</f>
        <v>0.00672268907563026</v>
      </c>
      <c r="N11" s="9" t="s">
        <v>34</v>
      </c>
      <c r="O11" s="9" t="s">
        <v>34</v>
      </c>
    </row>
    <row r="12" customFormat="false" ht="15" hidden="false" customHeight="false" outlineLevel="0" collapsed="false">
      <c r="A12" s="6" t="s">
        <v>53</v>
      </c>
      <c r="B12" s="6" t="s">
        <v>36</v>
      </c>
      <c r="C12" s="6" t="s">
        <v>54</v>
      </c>
      <c r="D12" s="6" t="s">
        <v>38</v>
      </c>
      <c r="E12" s="7" t="n">
        <v>6.5</v>
      </c>
      <c r="F12" s="7" t="n">
        <v>6.5</v>
      </c>
      <c r="G12" s="6" t="s">
        <v>39</v>
      </c>
      <c r="H12" s="7" t="n">
        <v>6.75</v>
      </c>
      <c r="I12" s="7"/>
      <c r="J12" s="7"/>
      <c r="K12" s="6" t="s">
        <v>40</v>
      </c>
      <c r="L12" s="6" t="s">
        <v>33</v>
      </c>
      <c r="M12" s="8" t="n">
        <f aca="false">IF(H12&lt;E12,(E12-H12)/H12,IF(H12&gt;F12,(F12-H12)/H12,0))</f>
        <v>-0.037037037037037</v>
      </c>
      <c r="N12" s="9" t="s">
        <v>34</v>
      </c>
      <c r="O12" s="9" t="s">
        <v>34</v>
      </c>
    </row>
    <row r="13" customFormat="false" ht="15" hidden="false" customHeight="false" outlineLevel="0" collapsed="false">
      <c r="A13" s="6" t="s">
        <v>55</v>
      </c>
      <c r="B13" s="6" t="s">
        <v>36</v>
      </c>
      <c r="C13" s="6" t="s">
        <v>56</v>
      </c>
      <c r="D13" s="6" t="s">
        <v>30</v>
      </c>
      <c r="E13" s="7" t="n">
        <v>275</v>
      </c>
      <c r="F13" s="7" t="n">
        <v>275</v>
      </c>
      <c r="G13" s="6" t="s">
        <v>31</v>
      </c>
      <c r="H13" s="7" t="n">
        <v>239.99</v>
      </c>
      <c r="I13" s="7"/>
      <c r="J13" s="7"/>
      <c r="K13" s="6" t="s">
        <v>32</v>
      </c>
      <c r="L13" s="6" t="s">
        <v>33</v>
      </c>
      <c r="M13" s="8" t="n">
        <f aca="false">IF(H13&lt;E13,(E13-H13)/H13,IF(H13&gt;F13,(F13-H13)/H13,0))</f>
        <v>0.145881078378266</v>
      </c>
      <c r="N13" s="9" t="s">
        <v>34</v>
      </c>
      <c r="O13" s="9" t="s">
        <v>34</v>
      </c>
    </row>
    <row r="14" customFormat="false" ht="15" hidden="false" customHeight="false" outlineLevel="0" collapsed="false">
      <c r="A14" s="6" t="s">
        <v>55</v>
      </c>
      <c r="B14" s="6" t="s">
        <v>36</v>
      </c>
      <c r="C14" s="6" t="s">
        <v>56</v>
      </c>
      <c r="D14" s="6" t="s">
        <v>30</v>
      </c>
      <c r="E14" s="7" t="n">
        <v>275</v>
      </c>
      <c r="F14" s="7" t="n">
        <v>275</v>
      </c>
      <c r="G14" s="6" t="s">
        <v>39</v>
      </c>
      <c r="H14" s="7" t="n">
        <v>274.95</v>
      </c>
      <c r="I14" s="7"/>
      <c r="J14" s="7"/>
      <c r="K14" s="6" t="s">
        <v>32</v>
      </c>
      <c r="L14" s="6" t="s">
        <v>33</v>
      </c>
      <c r="M14" s="8" t="n">
        <f aca="false">IF(H14&lt;E14,(E14-H14)/H14,IF(H14&gt;F14,(F14-H14)/H14,0))</f>
        <v>0.000181851245681074</v>
      </c>
      <c r="N14" s="9" t="s">
        <v>34</v>
      </c>
      <c r="O14" s="9" t="s">
        <v>34</v>
      </c>
    </row>
    <row r="15" customFormat="false" ht="15" hidden="false" customHeight="false" outlineLevel="0" collapsed="false">
      <c r="A15" s="6" t="s">
        <v>57</v>
      </c>
      <c r="B15" s="6" t="s">
        <v>36</v>
      </c>
      <c r="C15" s="6" t="s">
        <v>58</v>
      </c>
      <c r="D15" s="6" t="s">
        <v>30</v>
      </c>
      <c r="E15" s="7" t="n">
        <v>4.5</v>
      </c>
      <c r="F15" s="7" t="n">
        <v>4.5</v>
      </c>
      <c r="G15" s="6" t="s">
        <v>31</v>
      </c>
      <c r="H15" s="7" t="n">
        <v>4.29</v>
      </c>
      <c r="I15" s="7"/>
      <c r="J15" s="7"/>
      <c r="K15" s="6" t="s">
        <v>32</v>
      </c>
      <c r="L15" s="6" t="s">
        <v>33</v>
      </c>
      <c r="M15" s="8" t="n">
        <f aca="false">IF(H15&lt;E15,(E15-H15)/H15,IF(H15&gt;F15,(F15-H15)/H15,0))</f>
        <v>0.0489510489510489</v>
      </c>
      <c r="N15" s="9" t="s">
        <v>34</v>
      </c>
      <c r="O15" s="9" t="s">
        <v>34</v>
      </c>
    </row>
    <row r="16" customFormat="false" ht="15" hidden="false" customHeight="false" outlineLevel="0" collapsed="false">
      <c r="A16" s="6" t="s">
        <v>57</v>
      </c>
      <c r="B16" s="6" t="s">
        <v>36</v>
      </c>
      <c r="C16" s="6" t="s">
        <v>58</v>
      </c>
      <c r="D16" s="6" t="s">
        <v>30</v>
      </c>
      <c r="E16" s="7" t="n">
        <v>4.5</v>
      </c>
      <c r="F16" s="7" t="n">
        <v>4.5</v>
      </c>
      <c r="G16" s="6" t="s">
        <v>39</v>
      </c>
      <c r="H16" s="7" t="n">
        <v>8.95</v>
      </c>
      <c r="I16" s="7"/>
      <c r="J16" s="7"/>
      <c r="K16" s="6" t="s">
        <v>40</v>
      </c>
      <c r="L16" s="6" t="s">
        <v>33</v>
      </c>
      <c r="M16" s="8" t="n">
        <f aca="false">IF(H16&lt;E16,(E16-H16)/H16,IF(H16&gt;F16,(F16-H16)/H16,0))</f>
        <v>-0.497206703910615</v>
      </c>
      <c r="N16" s="9" t="s">
        <v>34</v>
      </c>
      <c r="O16" s="9" t="s">
        <v>34</v>
      </c>
    </row>
    <row r="17" customFormat="false" ht="15" hidden="false" customHeight="false" outlineLevel="0" collapsed="false">
      <c r="A17" s="6" t="s">
        <v>59</v>
      </c>
      <c r="B17" s="6" t="s">
        <v>36</v>
      </c>
      <c r="C17" s="6" t="s">
        <v>60</v>
      </c>
      <c r="D17" s="6" t="s">
        <v>30</v>
      </c>
      <c r="E17" s="7" t="n">
        <v>4.5</v>
      </c>
      <c r="F17" s="7" t="n">
        <v>4.5</v>
      </c>
      <c r="G17" s="6" t="s">
        <v>31</v>
      </c>
      <c r="H17" s="7" t="n">
        <v>4.29</v>
      </c>
      <c r="I17" s="7"/>
      <c r="J17" s="7"/>
      <c r="K17" s="6" t="s">
        <v>32</v>
      </c>
      <c r="L17" s="6" t="s">
        <v>33</v>
      </c>
      <c r="M17" s="8" t="n">
        <f aca="false">IF(H17&lt;E17,(E17-H17)/H17,IF(H17&gt;F17,(F17-H17)/H17,0))</f>
        <v>0.0489510489510489</v>
      </c>
      <c r="N17" s="9" t="s">
        <v>34</v>
      </c>
      <c r="O17" s="9" t="s">
        <v>34</v>
      </c>
    </row>
    <row r="18" customFormat="false" ht="15" hidden="false" customHeight="false" outlineLevel="0" collapsed="false">
      <c r="A18" s="6" t="s">
        <v>61</v>
      </c>
      <c r="B18" s="6" t="s">
        <v>36</v>
      </c>
      <c r="C18" s="6" t="s">
        <v>62</v>
      </c>
      <c r="D18" s="6" t="s">
        <v>30</v>
      </c>
      <c r="E18" s="7" t="n">
        <v>5.5</v>
      </c>
      <c r="F18" s="7" t="n">
        <v>5.5</v>
      </c>
      <c r="G18" s="6" t="s">
        <v>31</v>
      </c>
      <c r="H18" s="7" t="n">
        <v>6.49</v>
      </c>
      <c r="I18" s="7"/>
      <c r="J18" s="7"/>
      <c r="K18" s="6" t="s">
        <v>32</v>
      </c>
      <c r="L18" s="6" t="s">
        <v>33</v>
      </c>
      <c r="M18" s="8" t="n">
        <f aca="false">IF(H18&lt;E18,(E18-H18)/H18,IF(H18&gt;F18,(F18-H18)/H18,0))</f>
        <v>-0.152542372881356</v>
      </c>
      <c r="N18" s="9" t="s">
        <v>34</v>
      </c>
      <c r="O18" s="9" t="s">
        <v>34</v>
      </c>
    </row>
    <row r="19" customFormat="false" ht="15" hidden="false" customHeight="false" outlineLevel="0" collapsed="false">
      <c r="A19" s="6" t="s">
        <v>63</v>
      </c>
      <c r="B19" s="6" t="s">
        <v>36</v>
      </c>
      <c r="C19" s="6" t="s">
        <v>64</v>
      </c>
      <c r="D19" s="6" t="s">
        <v>30</v>
      </c>
      <c r="E19" s="7" t="n">
        <v>6.49</v>
      </c>
      <c r="F19" s="7" t="n">
        <v>6.49</v>
      </c>
      <c r="G19" s="6" t="s">
        <v>31</v>
      </c>
      <c r="H19" s="7" t="n">
        <v>6.49</v>
      </c>
      <c r="I19" s="7"/>
      <c r="J19" s="7"/>
      <c r="K19" s="6" t="s">
        <v>32</v>
      </c>
      <c r="L19" s="6" t="s">
        <v>33</v>
      </c>
      <c r="M19" s="8" t="n">
        <f aca="false">IF(H19&lt;E19,(E19-H19)/H19,IF(H19&gt;F19,(F19-H19)/H19,0))</f>
        <v>0</v>
      </c>
      <c r="N19" s="9" t="s">
        <v>34</v>
      </c>
      <c r="O19" s="9" t="s">
        <v>34</v>
      </c>
    </row>
    <row r="20" customFormat="false" ht="15" hidden="false" customHeight="false" outlineLevel="0" collapsed="false">
      <c r="A20" s="6" t="s">
        <v>65</v>
      </c>
      <c r="B20" s="6" t="s">
        <v>36</v>
      </c>
      <c r="C20" s="6" t="s">
        <v>66</v>
      </c>
      <c r="D20" s="6" t="s">
        <v>38</v>
      </c>
      <c r="E20" s="7" t="n">
        <v>3.5</v>
      </c>
      <c r="F20" s="7" t="n">
        <v>3.5</v>
      </c>
      <c r="G20" s="6" t="s">
        <v>31</v>
      </c>
      <c r="H20" s="7" t="n">
        <v>3.57</v>
      </c>
      <c r="I20" s="7"/>
      <c r="J20" s="7"/>
      <c r="K20" s="6" t="s">
        <v>32</v>
      </c>
      <c r="L20" s="6" t="s">
        <v>45</v>
      </c>
      <c r="M20" s="8" t="n">
        <f aca="false">IF(H20&lt;E20,(E20-H20)/H20,IF(H20&gt;F20,(F20-H20)/H20,0))</f>
        <v>-0.0196078431372549</v>
      </c>
      <c r="N20" s="9" t="s">
        <v>34</v>
      </c>
      <c r="O20" s="9" t="s">
        <v>34</v>
      </c>
    </row>
    <row r="21" customFormat="false" ht="15" hidden="false" customHeight="false" outlineLevel="0" collapsed="false">
      <c r="A21" s="6" t="s">
        <v>65</v>
      </c>
      <c r="B21" s="6" t="s">
        <v>36</v>
      </c>
      <c r="C21" s="6" t="s">
        <v>66</v>
      </c>
      <c r="D21" s="6" t="s">
        <v>38</v>
      </c>
      <c r="E21" s="7" t="n">
        <v>3.5</v>
      </c>
      <c r="F21" s="7" t="n">
        <v>3.5</v>
      </c>
      <c r="G21" s="6" t="s">
        <v>39</v>
      </c>
      <c r="H21" s="7" t="n">
        <v>2.6</v>
      </c>
      <c r="I21" s="7"/>
      <c r="J21" s="7"/>
      <c r="K21" s="6" t="s">
        <v>40</v>
      </c>
      <c r="L21" s="6" t="s">
        <v>45</v>
      </c>
      <c r="M21" s="8" t="n">
        <f aca="false">IF(H21&lt;E21,(E21-H21)/H21,IF(H21&gt;F21,(F21-H21)/H21,0))</f>
        <v>0.346153846153846</v>
      </c>
      <c r="N21" s="9" t="s">
        <v>34</v>
      </c>
      <c r="O21" s="9" t="s">
        <v>34</v>
      </c>
    </row>
    <row r="22" customFormat="false" ht="15" hidden="false" customHeight="false" outlineLevel="0" collapsed="false">
      <c r="A22" s="6" t="s">
        <v>67</v>
      </c>
      <c r="B22" s="6" t="s">
        <v>36</v>
      </c>
      <c r="C22" s="6" t="s">
        <v>68</v>
      </c>
      <c r="D22" s="6" t="s">
        <v>69</v>
      </c>
      <c r="E22" s="7" t="n">
        <v>4.7</v>
      </c>
      <c r="F22" s="7" t="n">
        <v>5.5</v>
      </c>
      <c r="G22" s="6" t="s">
        <v>31</v>
      </c>
      <c r="H22" s="7" t="n">
        <v>4.19</v>
      </c>
      <c r="I22" s="7"/>
      <c r="J22" s="7"/>
      <c r="K22" s="6" t="s">
        <v>32</v>
      </c>
      <c r="L22" s="6" t="s">
        <v>33</v>
      </c>
      <c r="M22" s="8" t="n">
        <f aca="false">IF(H22&lt;E22,(E22-H22)/H22,IF(H22&gt;F22,(F22-H22)/H22,0))</f>
        <v>0.121718377088305</v>
      </c>
      <c r="N22" s="9" t="s">
        <v>34</v>
      </c>
      <c r="O22" s="9" t="s">
        <v>34</v>
      </c>
    </row>
    <row r="23" customFormat="false" ht="15" hidden="false" customHeight="false" outlineLevel="0" collapsed="false">
      <c r="A23" s="6" t="s">
        <v>70</v>
      </c>
      <c r="B23" s="6" t="s">
        <v>36</v>
      </c>
      <c r="C23" s="6" t="s">
        <v>71</v>
      </c>
      <c r="D23" s="6" t="s">
        <v>30</v>
      </c>
      <c r="E23" s="7" t="n">
        <v>8.5</v>
      </c>
      <c r="F23" s="7" t="n">
        <v>8.5</v>
      </c>
      <c r="G23" s="6" t="s">
        <v>31</v>
      </c>
      <c r="H23" s="7" t="n">
        <v>7.9</v>
      </c>
      <c r="I23" s="7"/>
      <c r="J23" s="7"/>
      <c r="K23" s="6" t="s">
        <v>32</v>
      </c>
      <c r="L23" s="6" t="s">
        <v>45</v>
      </c>
      <c r="M23" s="8" t="n">
        <f aca="false">IF(H23&lt;E23,(E23-H23)/H23,IF(H23&gt;F23,(F23-H23)/H23,0))</f>
        <v>0.0759493670886075</v>
      </c>
      <c r="N23" s="9" t="s">
        <v>34</v>
      </c>
      <c r="O23" s="9" t="s">
        <v>34</v>
      </c>
    </row>
    <row r="24" customFormat="false" ht="15" hidden="false" customHeight="false" outlineLevel="0" collapsed="false">
      <c r="A24" s="6" t="s">
        <v>72</v>
      </c>
      <c r="B24" s="6" t="s">
        <v>36</v>
      </c>
      <c r="C24" s="6" t="s">
        <v>73</v>
      </c>
      <c r="D24" s="6" t="s">
        <v>30</v>
      </c>
      <c r="E24" s="7" t="n">
        <v>8.5</v>
      </c>
      <c r="F24" s="7" t="n">
        <v>8.5</v>
      </c>
      <c r="G24" s="6" t="s">
        <v>31</v>
      </c>
      <c r="H24" s="7" t="n">
        <v>7.9</v>
      </c>
      <c r="I24" s="7"/>
      <c r="J24" s="7"/>
      <c r="K24" s="6" t="s">
        <v>32</v>
      </c>
      <c r="L24" s="6" t="s">
        <v>45</v>
      </c>
      <c r="M24" s="8" t="n">
        <f aca="false">IF(H24&lt;E24,(E24-H24)/H24,IF(H24&gt;F24,(F24-H24)/H24,0))</f>
        <v>0.0759493670886075</v>
      </c>
      <c r="N24" s="9" t="s">
        <v>34</v>
      </c>
      <c r="O24" s="9" t="s">
        <v>34</v>
      </c>
    </row>
    <row r="25" customFormat="false" ht="15" hidden="false" customHeight="false" outlineLevel="0" collapsed="false">
      <c r="A25" s="6" t="s">
        <v>74</v>
      </c>
      <c r="B25" s="6" t="s">
        <v>36</v>
      </c>
      <c r="C25" s="6" t="s">
        <v>75</v>
      </c>
      <c r="D25" s="6" t="s">
        <v>52</v>
      </c>
      <c r="E25" s="7" t="n">
        <v>4.99</v>
      </c>
      <c r="F25" s="7" t="n">
        <v>4.99</v>
      </c>
      <c r="G25" s="6" t="s">
        <v>31</v>
      </c>
      <c r="H25" s="7" t="n">
        <v>3.54</v>
      </c>
      <c r="I25" s="7"/>
      <c r="J25" s="7"/>
      <c r="K25" s="6" t="s">
        <v>32</v>
      </c>
      <c r="L25" s="6" t="s">
        <v>33</v>
      </c>
      <c r="M25" s="8" t="n">
        <f aca="false">IF(H25&lt;E25,(E25-H25)/H25,IF(H25&gt;F25,(F25-H25)/H25,0))</f>
        <v>0.409604519774011</v>
      </c>
      <c r="N25" s="9" t="s">
        <v>34</v>
      </c>
      <c r="O25" s="9" t="s">
        <v>34</v>
      </c>
    </row>
    <row r="26" customFormat="false" ht="15" hidden="false" customHeight="false" outlineLevel="0" collapsed="false">
      <c r="A26" s="6" t="s">
        <v>76</v>
      </c>
      <c r="B26" s="6" t="s">
        <v>36</v>
      </c>
      <c r="C26" s="6" t="s">
        <v>77</v>
      </c>
      <c r="D26" s="6" t="s">
        <v>52</v>
      </c>
      <c r="E26" s="7" t="n">
        <v>24.99</v>
      </c>
      <c r="F26" s="7" t="n">
        <v>24.99</v>
      </c>
      <c r="G26" s="6" t="s">
        <v>39</v>
      </c>
      <c r="H26" s="7" t="n">
        <v>39.95</v>
      </c>
      <c r="I26" s="7"/>
      <c r="J26" s="7"/>
      <c r="K26" s="6" t="s">
        <v>40</v>
      </c>
      <c r="L26" s="6" t="s">
        <v>33</v>
      </c>
      <c r="M26" s="8" t="n">
        <f aca="false">IF(H26&lt;E26,(E26-H26)/H26,IF(H26&gt;F26,(F26-H26)/H26,0))</f>
        <v>-0.374468085106383</v>
      </c>
      <c r="N26" s="9" t="s">
        <v>34</v>
      </c>
      <c r="O26" s="9" t="s">
        <v>34</v>
      </c>
    </row>
    <row r="27" customFormat="false" ht="15" hidden="false" customHeight="false" outlineLevel="0" collapsed="false">
      <c r="A27" s="6" t="s">
        <v>78</v>
      </c>
      <c r="B27" s="6" t="s">
        <v>36</v>
      </c>
      <c r="C27" s="6" t="s">
        <v>79</v>
      </c>
      <c r="D27" s="6" t="s">
        <v>52</v>
      </c>
      <c r="E27" s="7" t="n">
        <v>39</v>
      </c>
      <c r="F27" s="7" t="n">
        <v>39</v>
      </c>
      <c r="G27" s="6" t="s">
        <v>39</v>
      </c>
      <c r="H27" s="7" t="n">
        <v>39.95</v>
      </c>
      <c r="I27" s="7"/>
      <c r="J27" s="7"/>
      <c r="K27" s="6" t="s">
        <v>40</v>
      </c>
      <c r="L27" s="6" t="s">
        <v>33</v>
      </c>
      <c r="M27" s="8" t="n">
        <f aca="false">IF(H27&lt;E27,(E27-H27)/H27,IF(H27&gt;F27,(F27-H27)/H27,0))</f>
        <v>-0.0237797246558198</v>
      </c>
      <c r="N27" s="9" t="s">
        <v>34</v>
      </c>
      <c r="O27" s="9" t="s">
        <v>34</v>
      </c>
    </row>
    <row r="28" customFormat="false" ht="15" hidden="false" customHeight="false" outlineLevel="0" collapsed="false">
      <c r="A28" s="6" t="s">
        <v>80</v>
      </c>
      <c r="B28" s="6" t="s">
        <v>36</v>
      </c>
      <c r="C28" s="6" t="s">
        <v>81</v>
      </c>
      <c r="D28" s="6" t="s">
        <v>82</v>
      </c>
      <c r="E28" s="7" t="n">
        <v>7.9</v>
      </c>
      <c r="F28" s="7" t="n">
        <v>9.1</v>
      </c>
      <c r="G28" s="6" t="s">
        <v>31</v>
      </c>
      <c r="H28" s="7" t="n">
        <v>7.49</v>
      </c>
      <c r="I28" s="7"/>
      <c r="J28" s="7"/>
      <c r="K28" s="6" t="s">
        <v>32</v>
      </c>
      <c r="L28" s="6" t="s">
        <v>33</v>
      </c>
      <c r="M28" s="8" t="n">
        <f aca="false">IF(H28&lt;E28,(E28-H28)/H28,IF(H28&gt;F28,(F28-H28)/H28,0))</f>
        <v>0.054739652870494</v>
      </c>
      <c r="N28" s="9" t="s">
        <v>34</v>
      </c>
      <c r="O28" s="9" t="s">
        <v>34</v>
      </c>
    </row>
    <row r="29" customFormat="false" ht="15" hidden="false" customHeight="false" outlineLevel="0" collapsed="false">
      <c r="A29" s="6" t="s">
        <v>83</v>
      </c>
      <c r="B29" s="6" t="s">
        <v>36</v>
      </c>
      <c r="C29" s="6" t="s">
        <v>84</v>
      </c>
      <c r="D29" s="6" t="s">
        <v>38</v>
      </c>
      <c r="E29" s="7" t="n">
        <v>11.5</v>
      </c>
      <c r="F29" s="7" t="n">
        <v>11.5</v>
      </c>
      <c r="G29" s="6" t="s">
        <v>31</v>
      </c>
      <c r="H29" s="7" t="n">
        <v>9.1</v>
      </c>
      <c r="I29" s="7"/>
      <c r="J29" s="7"/>
      <c r="K29" s="6" t="s">
        <v>32</v>
      </c>
      <c r="L29" s="6" t="s">
        <v>33</v>
      </c>
      <c r="M29" s="8" t="n">
        <f aca="false">IF(H29&lt;E29,(E29-H29)/H29,IF(H29&gt;F29,(F29-H29)/H29,0))</f>
        <v>0.263736263736264</v>
      </c>
      <c r="N29" s="9" t="s">
        <v>34</v>
      </c>
      <c r="O29" s="9" t="s">
        <v>34</v>
      </c>
    </row>
    <row r="30" customFormat="false" ht="15" hidden="false" customHeight="false" outlineLevel="0" collapsed="false">
      <c r="A30" s="6" t="s">
        <v>83</v>
      </c>
      <c r="B30" s="6" t="s">
        <v>36</v>
      </c>
      <c r="C30" s="6" t="s">
        <v>84</v>
      </c>
      <c r="D30" s="6" t="s">
        <v>38</v>
      </c>
      <c r="E30" s="7" t="n">
        <v>11.5</v>
      </c>
      <c r="F30" s="7" t="n">
        <v>11.5</v>
      </c>
      <c r="G30" s="6" t="s">
        <v>39</v>
      </c>
      <c r="H30" s="7" t="n">
        <v>9.5</v>
      </c>
      <c r="I30" s="7"/>
      <c r="J30" s="7"/>
      <c r="K30" s="6" t="s">
        <v>40</v>
      </c>
      <c r="L30" s="6" t="s">
        <v>33</v>
      </c>
      <c r="M30" s="8" t="n">
        <f aca="false">IF(H30&lt;E30,(E30-H30)/H30,IF(H30&gt;F30,(F30-H30)/H30,0))</f>
        <v>0.210526315789474</v>
      </c>
      <c r="N30" s="9" t="s">
        <v>34</v>
      </c>
      <c r="O30" s="9" t="s">
        <v>34</v>
      </c>
    </row>
    <row r="31" customFormat="false" ht="15" hidden="false" customHeight="false" outlineLevel="0" collapsed="false">
      <c r="A31" s="6" t="s">
        <v>85</v>
      </c>
      <c r="B31" s="6" t="s">
        <v>36</v>
      </c>
      <c r="C31" s="6" t="s">
        <v>86</v>
      </c>
      <c r="D31" s="6" t="s">
        <v>69</v>
      </c>
      <c r="E31" s="7" t="n">
        <v>4.1</v>
      </c>
      <c r="F31" s="7" t="n">
        <v>5.8</v>
      </c>
      <c r="G31" s="6" t="s">
        <v>39</v>
      </c>
      <c r="H31" s="7" t="n">
        <v>4.5</v>
      </c>
      <c r="I31" s="7"/>
      <c r="J31" s="7"/>
      <c r="K31" s="6" t="s">
        <v>40</v>
      </c>
      <c r="L31" s="6" t="s">
        <v>33</v>
      </c>
      <c r="M31" s="8" t="n">
        <f aca="false">IF(H31&lt;E31,(E31-H31)/H31,IF(H31&gt;F31,(F31-H31)/H31,0))</f>
        <v>0</v>
      </c>
      <c r="N31" s="9" t="s">
        <v>34</v>
      </c>
      <c r="O31" s="9" t="s">
        <v>34</v>
      </c>
    </row>
    <row r="32" customFormat="false" ht="15" hidden="false" customHeight="false" outlineLevel="0" collapsed="false">
      <c r="A32" s="6" t="s">
        <v>87</v>
      </c>
      <c r="B32" s="6" t="s">
        <v>36</v>
      </c>
      <c r="C32" s="6" t="s">
        <v>88</v>
      </c>
      <c r="D32" s="6" t="s">
        <v>52</v>
      </c>
      <c r="E32" s="7" t="n">
        <v>6.5</v>
      </c>
      <c r="F32" s="7" t="n">
        <v>6.5</v>
      </c>
      <c r="G32" s="6" t="s">
        <v>39</v>
      </c>
      <c r="H32" s="7" t="n">
        <v>3.49</v>
      </c>
      <c r="I32" s="7"/>
      <c r="J32" s="7"/>
      <c r="K32" s="6" t="s">
        <v>40</v>
      </c>
      <c r="L32" s="6" t="s">
        <v>33</v>
      </c>
      <c r="M32" s="8" t="n">
        <f aca="false">IF(H32&lt;E32,(E32-H32)/H32,IF(H32&gt;F32,(F32-H32)/H32,0))</f>
        <v>0.862464183381089</v>
      </c>
      <c r="N32" s="9" t="s">
        <v>34</v>
      </c>
      <c r="O32" s="9" t="s">
        <v>34</v>
      </c>
    </row>
    <row r="33" customFormat="false" ht="15" hidden="false" customHeight="false" outlineLevel="0" collapsed="false">
      <c r="A33" s="6" t="s">
        <v>89</v>
      </c>
      <c r="B33" s="6" t="s">
        <v>36</v>
      </c>
      <c r="C33" s="6" t="s">
        <v>90</v>
      </c>
      <c r="D33" s="6" t="s">
        <v>30</v>
      </c>
      <c r="E33" s="7" t="n">
        <v>4.95</v>
      </c>
      <c r="F33" s="7" t="n">
        <v>4.95</v>
      </c>
      <c r="G33" s="6" t="s">
        <v>31</v>
      </c>
      <c r="H33" s="7" t="n">
        <v>4.77</v>
      </c>
      <c r="I33" s="7"/>
      <c r="J33" s="7"/>
      <c r="K33" s="6" t="s">
        <v>40</v>
      </c>
      <c r="L33" s="6" t="s">
        <v>33</v>
      </c>
      <c r="M33" s="8" t="n">
        <f aca="false">IF(H33&lt;E33,(E33-H33)/H33,IF(H33&gt;F33,(F33-H33)/H33,0))</f>
        <v>0.0377358490566039</v>
      </c>
      <c r="N33" s="9" t="s">
        <v>34</v>
      </c>
      <c r="O33" s="9" t="s">
        <v>34</v>
      </c>
    </row>
    <row r="34" customFormat="false" ht="15" hidden="false" customHeight="false" outlineLevel="0" collapsed="false">
      <c r="A34" s="6" t="s">
        <v>89</v>
      </c>
      <c r="B34" s="6" t="s">
        <v>36</v>
      </c>
      <c r="C34" s="6" t="s">
        <v>90</v>
      </c>
      <c r="D34" s="6" t="s">
        <v>30</v>
      </c>
      <c r="E34" s="7" t="n">
        <v>4.95</v>
      </c>
      <c r="F34" s="7" t="n">
        <v>4.95</v>
      </c>
      <c r="G34" s="6" t="s">
        <v>39</v>
      </c>
      <c r="H34" s="7" t="n">
        <v>3.49</v>
      </c>
      <c r="I34" s="7"/>
      <c r="J34" s="7"/>
      <c r="K34" s="6" t="s">
        <v>40</v>
      </c>
      <c r="L34" s="6" t="s">
        <v>33</v>
      </c>
      <c r="M34" s="8" t="n">
        <f aca="false">IF(H34&lt;E34,(E34-H34)/H34,IF(H34&gt;F34,(F34-H34)/H34,0))</f>
        <v>0.418338108882521</v>
      </c>
      <c r="N34" s="9" t="s">
        <v>34</v>
      </c>
      <c r="O34" s="9" t="s">
        <v>34</v>
      </c>
    </row>
    <row r="35" customFormat="false" ht="15" hidden="false" customHeight="false" outlineLevel="0" collapsed="false">
      <c r="A35" s="6" t="s">
        <v>91</v>
      </c>
      <c r="B35" s="6" t="s">
        <v>36</v>
      </c>
      <c r="C35" s="6" t="s">
        <v>92</v>
      </c>
      <c r="D35" s="6" t="s">
        <v>30</v>
      </c>
      <c r="E35" s="7" t="n">
        <v>4.95</v>
      </c>
      <c r="F35" s="7" t="n">
        <v>4.95</v>
      </c>
      <c r="G35" s="6" t="s">
        <v>31</v>
      </c>
      <c r="H35" s="7" t="n">
        <v>4.77</v>
      </c>
      <c r="I35" s="7"/>
      <c r="J35" s="7"/>
      <c r="K35" s="6" t="s">
        <v>40</v>
      </c>
      <c r="L35" s="6" t="s">
        <v>93</v>
      </c>
      <c r="M35" s="8" t="n">
        <f aca="false">IF(H35&lt;E35,(E35-H35)/H35,IF(H35&gt;F35,(F35-H35)/H35,0))</f>
        <v>0.0377358490566039</v>
      </c>
      <c r="N35" s="9" t="s">
        <v>34</v>
      </c>
      <c r="O35" s="9" t="s">
        <v>34</v>
      </c>
    </row>
    <row r="36" customFormat="false" ht="15" hidden="false" customHeight="false" outlineLevel="0" collapsed="false">
      <c r="A36" s="6" t="s">
        <v>91</v>
      </c>
      <c r="B36" s="6" t="s">
        <v>36</v>
      </c>
      <c r="C36" s="6" t="s">
        <v>92</v>
      </c>
      <c r="D36" s="6" t="s">
        <v>30</v>
      </c>
      <c r="E36" s="7" t="n">
        <v>4.95</v>
      </c>
      <c r="F36" s="7" t="n">
        <v>4.95</v>
      </c>
      <c r="G36" s="6" t="s">
        <v>39</v>
      </c>
      <c r="H36" s="7" t="n">
        <v>3.49</v>
      </c>
      <c r="I36" s="7"/>
      <c r="J36" s="7"/>
      <c r="K36" s="6" t="s">
        <v>40</v>
      </c>
      <c r="L36" s="6" t="s">
        <v>94</v>
      </c>
      <c r="M36" s="8" t="n">
        <f aca="false">IF(H36&lt;E36,(E36-H36)/H36,IF(H36&gt;F36,(F36-H36)/H36,0))</f>
        <v>0.418338108882521</v>
      </c>
      <c r="N36" s="9" t="s">
        <v>34</v>
      </c>
      <c r="O36" s="9" t="s">
        <v>34</v>
      </c>
    </row>
    <row r="37" customFormat="false" ht="15" hidden="false" customHeight="false" outlineLevel="0" collapsed="false">
      <c r="A37" s="6" t="s">
        <v>95</v>
      </c>
      <c r="B37" s="6" t="s">
        <v>36</v>
      </c>
      <c r="C37" s="6" t="s">
        <v>96</v>
      </c>
      <c r="D37" s="6" t="s">
        <v>30</v>
      </c>
      <c r="E37" s="7" t="n">
        <v>4.95</v>
      </c>
      <c r="F37" s="7" t="n">
        <v>4.95</v>
      </c>
      <c r="G37" s="6" t="s">
        <v>31</v>
      </c>
      <c r="H37" s="7" t="n">
        <v>4.77</v>
      </c>
      <c r="I37" s="7"/>
      <c r="J37" s="7"/>
      <c r="K37" s="6" t="s">
        <v>40</v>
      </c>
      <c r="L37" s="6" t="s">
        <v>93</v>
      </c>
      <c r="M37" s="8" t="n">
        <f aca="false">IF(H37&lt;E37,(E37-H37)/H37,IF(H37&gt;F37,(F37-H37)/H37,0))</f>
        <v>0.0377358490566039</v>
      </c>
      <c r="N37" s="9" t="s">
        <v>34</v>
      </c>
      <c r="O37" s="9" t="s">
        <v>34</v>
      </c>
    </row>
    <row r="38" customFormat="false" ht="15" hidden="false" customHeight="false" outlineLevel="0" collapsed="false">
      <c r="A38" s="6" t="s">
        <v>95</v>
      </c>
      <c r="B38" s="6" t="s">
        <v>36</v>
      </c>
      <c r="C38" s="6" t="s">
        <v>96</v>
      </c>
      <c r="D38" s="6" t="s">
        <v>30</v>
      </c>
      <c r="E38" s="7" t="n">
        <v>4.95</v>
      </c>
      <c r="F38" s="7" t="n">
        <v>4.95</v>
      </c>
      <c r="G38" s="6" t="s">
        <v>39</v>
      </c>
      <c r="H38" s="7" t="n">
        <v>3.49</v>
      </c>
      <c r="I38" s="7"/>
      <c r="J38" s="7"/>
      <c r="K38" s="6" t="s">
        <v>40</v>
      </c>
      <c r="L38" s="6" t="s">
        <v>93</v>
      </c>
      <c r="M38" s="8" t="n">
        <f aca="false">IF(H38&lt;E38,(E38-H38)/H38,IF(H38&gt;F38,(F38-H38)/H38,0))</f>
        <v>0.418338108882521</v>
      </c>
      <c r="N38" s="9" t="s">
        <v>34</v>
      </c>
      <c r="O38" s="9" t="s">
        <v>34</v>
      </c>
    </row>
    <row r="39" customFormat="false" ht="15" hidden="false" customHeight="false" outlineLevel="0" collapsed="false">
      <c r="A39" s="6" t="s">
        <v>97</v>
      </c>
      <c r="B39" s="6" t="s">
        <v>36</v>
      </c>
      <c r="C39" s="6" t="s">
        <v>98</v>
      </c>
      <c r="D39" s="6" t="s">
        <v>30</v>
      </c>
      <c r="E39" s="7" t="n">
        <v>4.95</v>
      </c>
      <c r="F39" s="7" t="n">
        <v>4.95</v>
      </c>
      <c r="G39" s="6" t="s">
        <v>31</v>
      </c>
      <c r="H39" s="7" t="n">
        <v>4.77</v>
      </c>
      <c r="I39" s="7"/>
      <c r="J39" s="7"/>
      <c r="K39" s="6" t="s">
        <v>40</v>
      </c>
      <c r="L39" s="6" t="s">
        <v>93</v>
      </c>
      <c r="M39" s="8" t="n">
        <f aca="false">IF(H39&lt;E39,(E39-H39)/H39,IF(H39&gt;F39,(F39-H39)/H39,0))</f>
        <v>0.0377358490566039</v>
      </c>
      <c r="N39" s="9" t="s">
        <v>34</v>
      </c>
      <c r="O39" s="9" t="s">
        <v>34</v>
      </c>
    </row>
    <row r="40" customFormat="false" ht="15" hidden="false" customHeight="false" outlineLevel="0" collapsed="false">
      <c r="A40" s="6" t="s">
        <v>97</v>
      </c>
      <c r="B40" s="6" t="s">
        <v>36</v>
      </c>
      <c r="C40" s="6" t="s">
        <v>98</v>
      </c>
      <c r="D40" s="6" t="s">
        <v>30</v>
      </c>
      <c r="E40" s="7" t="n">
        <v>4.95</v>
      </c>
      <c r="F40" s="7" t="n">
        <v>4.95</v>
      </c>
      <c r="G40" s="6" t="s">
        <v>39</v>
      </c>
      <c r="H40" s="7" t="n">
        <v>3.49</v>
      </c>
      <c r="I40" s="7"/>
      <c r="J40" s="7"/>
      <c r="K40" s="6" t="s">
        <v>40</v>
      </c>
      <c r="L40" s="6" t="s">
        <v>93</v>
      </c>
      <c r="M40" s="8" t="n">
        <f aca="false">IF(H40&lt;E40,(E40-H40)/H40,IF(H40&gt;F40,(F40-H40)/H40,0))</f>
        <v>0.418338108882521</v>
      </c>
      <c r="N40" s="9" t="s">
        <v>34</v>
      </c>
      <c r="O40" s="9" t="s">
        <v>34</v>
      </c>
    </row>
    <row r="41" customFormat="false" ht="15" hidden="false" customHeight="false" outlineLevel="0" collapsed="false">
      <c r="A41" s="6" t="s">
        <v>99</v>
      </c>
      <c r="B41" s="6" t="s">
        <v>36</v>
      </c>
      <c r="C41" s="6" t="s">
        <v>100</v>
      </c>
      <c r="D41" s="6" t="s">
        <v>38</v>
      </c>
      <c r="E41" s="7" t="n">
        <v>8.9</v>
      </c>
      <c r="F41" s="7" t="n">
        <v>8.9</v>
      </c>
      <c r="G41" s="6" t="s">
        <v>31</v>
      </c>
      <c r="H41" s="7" t="n">
        <v>8.2</v>
      </c>
      <c r="I41" s="7"/>
      <c r="J41" s="7"/>
      <c r="K41" s="6" t="s">
        <v>32</v>
      </c>
      <c r="L41" s="6" t="s">
        <v>45</v>
      </c>
      <c r="M41" s="8" t="n">
        <f aca="false">IF(H41&lt;E41,(E41-H41)/H41,IF(H41&gt;F41,(F41-H41)/H41,0))</f>
        <v>0.0853658536585367</v>
      </c>
      <c r="N41" s="9" t="s">
        <v>34</v>
      </c>
      <c r="O41" s="9" t="s">
        <v>34</v>
      </c>
    </row>
    <row r="42" customFormat="false" ht="15" hidden="false" customHeight="false" outlineLevel="0" collapsed="false">
      <c r="A42" s="6" t="s">
        <v>99</v>
      </c>
      <c r="B42" s="6" t="s">
        <v>36</v>
      </c>
      <c r="C42" s="6" t="s">
        <v>100</v>
      </c>
      <c r="D42" s="6" t="s">
        <v>38</v>
      </c>
      <c r="E42" s="7" t="n">
        <v>8.9</v>
      </c>
      <c r="F42" s="7" t="n">
        <v>8.9</v>
      </c>
      <c r="G42" s="6" t="s">
        <v>39</v>
      </c>
      <c r="H42" s="7" t="n">
        <v>8.95</v>
      </c>
      <c r="I42" s="7"/>
      <c r="J42" s="7"/>
      <c r="K42" s="6" t="s">
        <v>32</v>
      </c>
      <c r="L42" s="6" t="s">
        <v>45</v>
      </c>
      <c r="M42" s="8" t="n">
        <f aca="false">IF(H42&lt;E42,(E42-H42)/H42,IF(H42&gt;F42,(F42-H42)/H42,0))</f>
        <v>-0.00558659217877083</v>
      </c>
      <c r="N42" s="9" t="s">
        <v>34</v>
      </c>
      <c r="O42" s="9" t="s">
        <v>34</v>
      </c>
    </row>
    <row r="43" customFormat="false" ht="15" hidden="false" customHeight="false" outlineLevel="0" collapsed="false">
      <c r="A43" s="6" t="s">
        <v>101</v>
      </c>
      <c r="B43" s="6" t="s">
        <v>36</v>
      </c>
      <c r="C43" s="6" t="s">
        <v>102</v>
      </c>
      <c r="D43" s="6" t="s">
        <v>38</v>
      </c>
      <c r="E43" s="7" t="n">
        <v>8.95</v>
      </c>
      <c r="F43" s="7" t="n">
        <v>10</v>
      </c>
      <c r="G43" s="6" t="s">
        <v>31</v>
      </c>
      <c r="H43" s="7" t="n">
        <v>8.8</v>
      </c>
      <c r="I43" s="7"/>
      <c r="J43" s="7"/>
      <c r="K43" s="6" t="s">
        <v>32</v>
      </c>
      <c r="L43" s="6" t="s">
        <v>45</v>
      </c>
      <c r="M43" s="8" t="n">
        <f aca="false">IF(H43&lt;E43,(E43-H43)/H43,IF(H43&gt;F43,(F43-H43)/H43,0))</f>
        <v>0.0170454545454544</v>
      </c>
      <c r="N43" s="9" t="s">
        <v>34</v>
      </c>
      <c r="O43" s="9" t="s">
        <v>34</v>
      </c>
    </row>
    <row r="44" customFormat="false" ht="15" hidden="false" customHeight="false" outlineLevel="0" collapsed="false">
      <c r="A44" s="6" t="s">
        <v>101</v>
      </c>
      <c r="B44" s="6" t="s">
        <v>36</v>
      </c>
      <c r="C44" s="6" t="s">
        <v>102</v>
      </c>
      <c r="D44" s="6" t="s">
        <v>38</v>
      </c>
      <c r="E44" s="7" t="n">
        <v>8.95</v>
      </c>
      <c r="F44" s="7" t="n">
        <v>10</v>
      </c>
      <c r="G44" s="6" t="s">
        <v>39</v>
      </c>
      <c r="H44" s="7" t="n">
        <v>8.95</v>
      </c>
      <c r="I44" s="7"/>
      <c r="J44" s="7"/>
      <c r="K44" s="6" t="s">
        <v>32</v>
      </c>
      <c r="L44" s="6" t="s">
        <v>45</v>
      </c>
      <c r="M44" s="8" t="n">
        <f aca="false">IF(H44&lt;E44,(E44-H44)/H44,IF(H44&gt;F44,(F44-H44)/H44,0))</f>
        <v>0</v>
      </c>
      <c r="N44" s="9" t="s">
        <v>34</v>
      </c>
      <c r="O44" s="9" t="s">
        <v>34</v>
      </c>
    </row>
    <row r="45" customFormat="false" ht="15" hidden="false" customHeight="false" outlineLevel="0" collapsed="false">
      <c r="A45" s="6" t="s">
        <v>103</v>
      </c>
      <c r="B45" s="6" t="s">
        <v>36</v>
      </c>
      <c r="C45" s="6" t="s">
        <v>104</v>
      </c>
      <c r="D45" s="6" t="s">
        <v>38</v>
      </c>
      <c r="E45" s="7" t="n">
        <v>4</v>
      </c>
      <c r="F45" s="7" t="n">
        <v>4</v>
      </c>
      <c r="G45" s="6" t="s">
        <v>31</v>
      </c>
      <c r="H45" s="7" t="n">
        <v>3.61</v>
      </c>
      <c r="I45" s="7"/>
      <c r="J45" s="7"/>
      <c r="K45" s="6" t="s">
        <v>32</v>
      </c>
      <c r="L45" s="6" t="s">
        <v>45</v>
      </c>
      <c r="M45" s="8" t="n">
        <f aca="false">IF(H45&lt;E45,(E45-H45)/H45,IF(H45&gt;F45,(F45-H45)/H45,0))</f>
        <v>0.10803324099723</v>
      </c>
      <c r="N45" s="9" t="s">
        <v>34</v>
      </c>
      <c r="O45" s="9" t="s">
        <v>34</v>
      </c>
    </row>
    <row r="46" customFormat="false" ht="15" hidden="false" customHeight="false" outlineLevel="0" collapsed="false">
      <c r="A46" s="6" t="s">
        <v>103</v>
      </c>
      <c r="B46" s="6" t="s">
        <v>36</v>
      </c>
      <c r="C46" s="6" t="s">
        <v>104</v>
      </c>
      <c r="D46" s="6" t="s">
        <v>38</v>
      </c>
      <c r="E46" s="7" t="n">
        <v>4</v>
      </c>
      <c r="F46" s="7" t="n">
        <v>4</v>
      </c>
      <c r="G46" s="6" t="s">
        <v>105</v>
      </c>
      <c r="H46" s="7" t="n">
        <v>6.57</v>
      </c>
      <c r="I46" s="7"/>
      <c r="J46" s="7"/>
      <c r="K46" s="6" t="s">
        <v>106</v>
      </c>
      <c r="L46" s="6" t="s">
        <v>93</v>
      </c>
      <c r="M46" s="8" t="n">
        <f aca="false">IF(H46&lt;E46,(E46-H46)/H46,IF(H46&gt;F46,(F46-H46)/H46,0))</f>
        <v>-0.39117199391172</v>
      </c>
      <c r="N46" s="9" t="s">
        <v>34</v>
      </c>
      <c r="O46" s="9" t="s">
        <v>34</v>
      </c>
    </row>
    <row r="47" customFormat="false" ht="15" hidden="false" customHeight="false" outlineLevel="0" collapsed="false">
      <c r="A47" s="6" t="s">
        <v>103</v>
      </c>
      <c r="B47" s="6" t="s">
        <v>36</v>
      </c>
      <c r="C47" s="6" t="s">
        <v>104</v>
      </c>
      <c r="D47" s="6" t="s">
        <v>38</v>
      </c>
      <c r="E47" s="7" t="n">
        <v>4</v>
      </c>
      <c r="F47" s="7" t="n">
        <v>4</v>
      </c>
      <c r="G47" s="6" t="s">
        <v>39</v>
      </c>
      <c r="H47" s="7" t="n">
        <v>5.95</v>
      </c>
      <c r="I47" s="7"/>
      <c r="J47" s="7"/>
      <c r="K47" s="6" t="s">
        <v>40</v>
      </c>
      <c r="L47" s="6" t="s">
        <v>93</v>
      </c>
      <c r="M47" s="8" t="n">
        <f aca="false">IF(H47&lt;E47,(E47-H47)/H47,IF(H47&gt;F47,(F47-H47)/H47,0))</f>
        <v>-0.327731092436975</v>
      </c>
      <c r="N47" s="9" t="s">
        <v>34</v>
      </c>
      <c r="O47" s="9" t="s">
        <v>34</v>
      </c>
    </row>
    <row r="48" customFormat="false" ht="15" hidden="false" customHeight="false" outlineLevel="0" collapsed="false">
      <c r="A48" s="6" t="s">
        <v>107</v>
      </c>
      <c r="B48" s="6" t="s">
        <v>36</v>
      </c>
      <c r="C48" s="6" t="s">
        <v>108</v>
      </c>
      <c r="D48" s="6" t="s">
        <v>38</v>
      </c>
      <c r="E48" s="7" t="n">
        <v>7</v>
      </c>
      <c r="F48" s="7" t="n">
        <v>7</v>
      </c>
      <c r="G48" s="6" t="s">
        <v>31</v>
      </c>
      <c r="H48" s="7" t="n">
        <v>6.8</v>
      </c>
      <c r="I48" s="7"/>
      <c r="J48" s="7"/>
      <c r="K48" s="6" t="s">
        <v>32</v>
      </c>
      <c r="L48" s="6" t="s">
        <v>45</v>
      </c>
      <c r="M48" s="8" t="n">
        <f aca="false">IF(H48&lt;E48,(E48-H48)/H48,IF(H48&gt;F48,(F48-H48)/H48,0))</f>
        <v>0.0294117647058824</v>
      </c>
      <c r="N48" s="9" t="s">
        <v>34</v>
      </c>
      <c r="O48" s="9" t="s">
        <v>34</v>
      </c>
    </row>
    <row r="49" customFormat="false" ht="15" hidden="false" customHeight="false" outlineLevel="0" collapsed="false">
      <c r="A49" s="6" t="s">
        <v>107</v>
      </c>
      <c r="B49" s="6" t="s">
        <v>36</v>
      </c>
      <c r="C49" s="6" t="s">
        <v>108</v>
      </c>
      <c r="D49" s="6" t="s">
        <v>38</v>
      </c>
      <c r="E49" s="7" t="n">
        <v>7</v>
      </c>
      <c r="F49" s="7" t="n">
        <v>7</v>
      </c>
      <c r="G49" s="6" t="s">
        <v>105</v>
      </c>
      <c r="H49" s="7" t="n">
        <v>6.57</v>
      </c>
      <c r="I49" s="7"/>
      <c r="J49" s="7"/>
      <c r="K49" s="6" t="s">
        <v>106</v>
      </c>
      <c r="L49" s="6" t="s">
        <v>93</v>
      </c>
      <c r="M49" s="8" t="n">
        <f aca="false">IF(H49&lt;E49,(E49-H49)/H49,IF(H49&gt;F49,(F49-H49)/H49,0))</f>
        <v>0.0654490106544901</v>
      </c>
      <c r="N49" s="9" t="s">
        <v>34</v>
      </c>
      <c r="O49" s="9" t="s">
        <v>34</v>
      </c>
    </row>
    <row r="50" customFormat="false" ht="15" hidden="false" customHeight="false" outlineLevel="0" collapsed="false">
      <c r="A50" s="6" t="s">
        <v>107</v>
      </c>
      <c r="B50" s="6" t="s">
        <v>36</v>
      </c>
      <c r="C50" s="6" t="s">
        <v>108</v>
      </c>
      <c r="D50" s="6" t="s">
        <v>38</v>
      </c>
      <c r="E50" s="7" t="n">
        <v>7</v>
      </c>
      <c r="F50" s="7" t="n">
        <v>7</v>
      </c>
      <c r="G50" s="6" t="s">
        <v>39</v>
      </c>
      <c r="H50" s="7" t="n">
        <v>5.95</v>
      </c>
      <c r="I50" s="7"/>
      <c r="J50" s="7"/>
      <c r="K50" s="6" t="s">
        <v>40</v>
      </c>
      <c r="L50" s="6" t="s">
        <v>45</v>
      </c>
      <c r="M50" s="8" t="n">
        <f aca="false">IF(H50&lt;E50,(E50-H50)/H50,IF(H50&gt;F50,(F50-H50)/H50,0))</f>
        <v>0.176470588235294</v>
      </c>
      <c r="N50" s="9" t="s">
        <v>34</v>
      </c>
      <c r="O50" s="9" t="s">
        <v>34</v>
      </c>
    </row>
    <row r="51" customFormat="false" ht="15" hidden="false" customHeight="false" outlineLevel="0" collapsed="false">
      <c r="A51" s="6" t="s">
        <v>109</v>
      </c>
      <c r="B51" s="6" t="s">
        <v>36</v>
      </c>
      <c r="C51" s="6" t="s">
        <v>110</v>
      </c>
      <c r="D51" s="6" t="s">
        <v>111</v>
      </c>
      <c r="E51" s="7" t="n">
        <v>4.2</v>
      </c>
      <c r="F51" s="7" t="n">
        <v>4.2</v>
      </c>
      <c r="G51" s="6" t="s">
        <v>31</v>
      </c>
      <c r="H51" s="7" t="n">
        <v>4.57</v>
      </c>
      <c r="I51" s="7"/>
      <c r="J51" s="7"/>
      <c r="K51" s="6" t="s">
        <v>32</v>
      </c>
      <c r="L51" s="6" t="s">
        <v>93</v>
      </c>
      <c r="M51" s="8" t="n">
        <f aca="false">IF(H51&lt;E51,(E51-H51)/H51,IF(H51&gt;F51,(F51-H51)/H51,0))</f>
        <v>-0.0809628008752735</v>
      </c>
      <c r="N51" s="9" t="s">
        <v>34</v>
      </c>
      <c r="O51" s="9" t="s">
        <v>34</v>
      </c>
    </row>
    <row r="52" customFormat="false" ht="15" hidden="false" customHeight="false" outlineLevel="0" collapsed="false">
      <c r="A52" s="6" t="s">
        <v>112</v>
      </c>
      <c r="B52" s="6" t="s">
        <v>36</v>
      </c>
      <c r="C52" s="6" t="s">
        <v>113</v>
      </c>
      <c r="D52" s="6" t="s">
        <v>52</v>
      </c>
      <c r="E52" s="7" t="n">
        <v>8.9</v>
      </c>
      <c r="F52" s="7" t="n">
        <v>10.5</v>
      </c>
      <c r="G52" s="6" t="s">
        <v>31</v>
      </c>
      <c r="H52" s="7" t="n">
        <v>7.39</v>
      </c>
      <c r="I52" s="7"/>
      <c r="J52" s="7"/>
      <c r="K52" s="6" t="s">
        <v>32</v>
      </c>
      <c r="L52" s="6" t="s">
        <v>33</v>
      </c>
      <c r="M52" s="8" t="n">
        <f aca="false">IF(H52&lt;E52,(E52-H52)/H52,IF(H52&gt;F52,(F52-H52)/H52,0))</f>
        <v>0.204330175913397</v>
      </c>
      <c r="N52" s="9" t="s">
        <v>34</v>
      </c>
      <c r="O52" s="9" t="s">
        <v>34</v>
      </c>
    </row>
    <row r="53" customFormat="false" ht="15" hidden="false" customHeight="false" outlineLevel="0" collapsed="false">
      <c r="A53" s="6" t="s">
        <v>112</v>
      </c>
      <c r="B53" s="6" t="s">
        <v>36</v>
      </c>
      <c r="C53" s="6" t="s">
        <v>113</v>
      </c>
      <c r="D53" s="6" t="s">
        <v>52</v>
      </c>
      <c r="E53" s="7" t="n">
        <v>8.9</v>
      </c>
      <c r="F53" s="7" t="n">
        <v>10.5</v>
      </c>
      <c r="G53" s="6" t="s">
        <v>39</v>
      </c>
      <c r="H53" s="7" t="n">
        <v>7.95</v>
      </c>
      <c r="I53" s="7"/>
      <c r="J53" s="7"/>
      <c r="K53" s="6" t="s">
        <v>40</v>
      </c>
      <c r="L53" s="6" t="s">
        <v>33</v>
      </c>
      <c r="M53" s="8" t="n">
        <f aca="false">IF(H53&lt;E53,(E53-H53)/H53,IF(H53&gt;F53,(F53-H53)/H53,0))</f>
        <v>0.119496855345912</v>
      </c>
      <c r="N53" s="9" t="s">
        <v>34</v>
      </c>
      <c r="O53" s="9" t="s">
        <v>34</v>
      </c>
    </row>
    <row r="54" customFormat="false" ht="15" hidden="false" customHeight="false" outlineLevel="0" collapsed="false">
      <c r="A54" s="6" t="s">
        <v>114</v>
      </c>
      <c r="B54" s="6" t="s">
        <v>36</v>
      </c>
      <c r="C54" s="6" t="s">
        <v>115</v>
      </c>
      <c r="D54" s="6" t="s">
        <v>52</v>
      </c>
      <c r="E54" s="7" t="n">
        <v>4.99</v>
      </c>
      <c r="F54" s="7" t="n">
        <v>4.99</v>
      </c>
      <c r="G54" s="6" t="s">
        <v>31</v>
      </c>
      <c r="H54" s="7" t="n">
        <v>4.4</v>
      </c>
      <c r="I54" s="7"/>
      <c r="J54" s="7"/>
      <c r="K54" s="6" t="s">
        <v>32</v>
      </c>
      <c r="L54" s="6" t="s">
        <v>33</v>
      </c>
      <c r="M54" s="8" t="n">
        <f aca="false">IF(H54&lt;E54,(E54-H54)/H54,IF(H54&gt;F54,(F54-H54)/H54,0))</f>
        <v>0.134090909090909</v>
      </c>
      <c r="N54" s="9" t="s">
        <v>34</v>
      </c>
      <c r="O54" s="9" t="s">
        <v>34</v>
      </c>
    </row>
    <row r="55" customFormat="false" ht="15" hidden="false" customHeight="false" outlineLevel="0" collapsed="false">
      <c r="A55" s="6" t="s">
        <v>114</v>
      </c>
      <c r="B55" s="6" t="s">
        <v>36</v>
      </c>
      <c r="C55" s="6" t="s">
        <v>115</v>
      </c>
      <c r="D55" s="6" t="s">
        <v>52</v>
      </c>
      <c r="E55" s="7" t="n">
        <v>4.99</v>
      </c>
      <c r="F55" s="7" t="n">
        <v>4.99</v>
      </c>
      <c r="G55" s="6" t="s">
        <v>39</v>
      </c>
      <c r="H55" s="7" t="n">
        <v>4.95</v>
      </c>
      <c r="I55" s="7"/>
      <c r="J55" s="7"/>
      <c r="K55" s="6" t="s">
        <v>40</v>
      </c>
      <c r="L55" s="6" t="s">
        <v>33</v>
      </c>
      <c r="M55" s="8" t="n">
        <f aca="false">IF(H55&lt;E55,(E55-H55)/H55,IF(H55&gt;F55,(F55-H55)/H55,0))</f>
        <v>0.00808080808080809</v>
      </c>
      <c r="N55" s="9" t="s">
        <v>34</v>
      </c>
      <c r="O55" s="9" t="s">
        <v>34</v>
      </c>
    </row>
    <row r="56" customFormat="false" ht="15" hidden="false" customHeight="false" outlineLevel="0" collapsed="false">
      <c r="A56" s="6" t="s">
        <v>116</v>
      </c>
      <c r="B56" s="6" t="s">
        <v>36</v>
      </c>
      <c r="C56" s="6" t="s">
        <v>117</v>
      </c>
      <c r="D56" s="6" t="s">
        <v>69</v>
      </c>
      <c r="E56" s="7" t="n">
        <v>9.5</v>
      </c>
      <c r="F56" s="7" t="n">
        <v>11.9</v>
      </c>
      <c r="G56" s="6" t="s">
        <v>31</v>
      </c>
      <c r="H56" s="7" t="n">
        <v>9.5</v>
      </c>
      <c r="I56" s="7"/>
      <c r="J56" s="7"/>
      <c r="K56" s="6" t="s">
        <v>32</v>
      </c>
      <c r="L56" s="6" t="s">
        <v>45</v>
      </c>
      <c r="M56" s="8" t="n">
        <f aca="false">IF(H56&lt;E56,(E56-H56)/H56,IF(H56&gt;F56,(F56-H56)/H56,0))</f>
        <v>0</v>
      </c>
      <c r="N56" s="9" t="s">
        <v>34</v>
      </c>
      <c r="O56" s="9" t="s">
        <v>34</v>
      </c>
    </row>
    <row r="57" customFormat="false" ht="15" hidden="false" customHeight="false" outlineLevel="0" collapsed="false">
      <c r="A57" s="6" t="s">
        <v>116</v>
      </c>
      <c r="B57" s="6" t="s">
        <v>36</v>
      </c>
      <c r="C57" s="6" t="s">
        <v>117</v>
      </c>
      <c r="D57" s="6" t="s">
        <v>69</v>
      </c>
      <c r="E57" s="7" t="n">
        <v>9.5</v>
      </c>
      <c r="F57" s="7" t="n">
        <v>11.9</v>
      </c>
      <c r="G57" s="6" t="s">
        <v>39</v>
      </c>
      <c r="H57" s="7" t="n">
        <v>10.95</v>
      </c>
      <c r="I57" s="7"/>
      <c r="J57" s="7"/>
      <c r="K57" s="6" t="s">
        <v>32</v>
      </c>
      <c r="L57" s="6" t="s">
        <v>45</v>
      </c>
      <c r="M57" s="8" t="n">
        <f aca="false">IF(H57&lt;E57,(E57-H57)/H57,IF(H57&gt;F57,(F57-H57)/H57,0))</f>
        <v>0</v>
      </c>
      <c r="N57" s="9" t="s">
        <v>34</v>
      </c>
      <c r="O57" s="9" t="s">
        <v>34</v>
      </c>
    </row>
    <row r="58" customFormat="false" ht="15" hidden="false" customHeight="false" outlineLevel="0" collapsed="false">
      <c r="A58" s="6" t="s">
        <v>118</v>
      </c>
      <c r="B58" s="6" t="s">
        <v>36</v>
      </c>
      <c r="C58" s="6" t="s">
        <v>119</v>
      </c>
      <c r="D58" s="6" t="s">
        <v>69</v>
      </c>
      <c r="E58" s="7" t="n">
        <v>11.9</v>
      </c>
      <c r="F58" s="7" t="n">
        <v>11.9</v>
      </c>
      <c r="G58" s="6" t="s">
        <v>39</v>
      </c>
      <c r="H58" s="7" t="n">
        <v>11.95</v>
      </c>
      <c r="I58" s="7"/>
      <c r="J58" s="7"/>
      <c r="K58" s="6" t="s">
        <v>32</v>
      </c>
      <c r="L58" s="6" t="s">
        <v>45</v>
      </c>
      <c r="M58" s="8" t="n">
        <f aca="false">IF(H58&lt;E58,(E58-H58)/H58,IF(H58&gt;F58,(F58-H58)/H58,0))</f>
        <v>-0.00418410041840995</v>
      </c>
      <c r="N58" s="9" t="s">
        <v>34</v>
      </c>
      <c r="O58" s="9" t="s">
        <v>34</v>
      </c>
    </row>
    <row r="59" customFormat="false" ht="15" hidden="false" customHeight="false" outlineLevel="0" collapsed="false">
      <c r="A59" s="6" t="s">
        <v>120</v>
      </c>
      <c r="B59" s="6" t="s">
        <v>36</v>
      </c>
      <c r="C59" s="6" t="s">
        <v>121</v>
      </c>
      <c r="D59" s="6" t="s">
        <v>69</v>
      </c>
      <c r="E59" s="7" t="n">
        <v>4.8</v>
      </c>
      <c r="F59" s="7" t="n">
        <v>4.8</v>
      </c>
      <c r="G59" s="6" t="s">
        <v>31</v>
      </c>
      <c r="H59" s="7" t="n">
        <v>3.33</v>
      </c>
      <c r="I59" s="7"/>
      <c r="J59" s="7"/>
      <c r="K59" s="6" t="s">
        <v>32</v>
      </c>
      <c r="L59" s="6" t="s">
        <v>33</v>
      </c>
      <c r="M59" s="8" t="n">
        <f aca="false">IF(H59&lt;E59,(E59-H59)/H59,IF(H59&gt;F59,(F59-H59)/H59,0))</f>
        <v>0.441441441441441</v>
      </c>
      <c r="N59" s="9" t="s">
        <v>34</v>
      </c>
      <c r="O59" s="9" t="s">
        <v>34</v>
      </c>
    </row>
    <row r="60" customFormat="false" ht="15" hidden="false" customHeight="false" outlineLevel="0" collapsed="false">
      <c r="A60" s="6" t="s">
        <v>122</v>
      </c>
      <c r="B60" s="6" t="s">
        <v>36</v>
      </c>
      <c r="C60" s="6" t="s">
        <v>123</v>
      </c>
      <c r="D60" s="6" t="s">
        <v>38</v>
      </c>
      <c r="E60" s="7" t="n">
        <v>11.55</v>
      </c>
      <c r="F60" s="7" t="n">
        <v>12</v>
      </c>
      <c r="G60" s="6" t="s">
        <v>39</v>
      </c>
      <c r="H60" s="7" t="n">
        <v>29.95</v>
      </c>
      <c r="I60" s="7"/>
      <c r="J60" s="7"/>
      <c r="K60" s="6" t="s">
        <v>40</v>
      </c>
      <c r="L60" s="6" t="s">
        <v>93</v>
      </c>
      <c r="M60" s="8" t="n">
        <f aca="false">IF(H60&lt;E60,(E60-H60)/H60,IF(H60&gt;F60,(F60-H60)/H60,0))</f>
        <v>-0.599332220367279</v>
      </c>
      <c r="N60" s="9" t="s">
        <v>34</v>
      </c>
      <c r="O60" s="9" t="s">
        <v>34</v>
      </c>
    </row>
    <row r="61" customFormat="false" ht="15" hidden="false" customHeight="false" outlineLevel="0" collapsed="false">
      <c r="A61" s="6" t="s">
        <v>124</v>
      </c>
      <c r="B61" s="6" t="s">
        <v>125</v>
      </c>
      <c r="C61" s="6" t="s">
        <v>126</v>
      </c>
      <c r="D61" s="6" t="s">
        <v>52</v>
      </c>
      <c r="E61" s="7" t="n">
        <v>39.95</v>
      </c>
      <c r="F61" s="7" t="n">
        <v>39.95</v>
      </c>
      <c r="G61" s="6" t="s">
        <v>39</v>
      </c>
      <c r="H61" s="7" t="n">
        <v>29.95</v>
      </c>
      <c r="I61" s="7"/>
      <c r="J61" s="7"/>
      <c r="K61" s="6" t="s">
        <v>32</v>
      </c>
      <c r="L61" s="6" t="s">
        <v>33</v>
      </c>
      <c r="M61" s="8" t="n">
        <f aca="false">IF(H61&lt;E61,(E61-H61)/H61,IF(H61&gt;F61,(F61-H61)/H61,0))</f>
        <v>0.333889816360601</v>
      </c>
      <c r="N61" s="9" t="s">
        <v>34</v>
      </c>
      <c r="O61" s="9" t="s">
        <v>34</v>
      </c>
    </row>
    <row r="62" customFormat="false" ht="15" hidden="false" customHeight="false" outlineLevel="0" collapsed="false">
      <c r="A62" s="6" t="s">
        <v>127</v>
      </c>
      <c r="B62" s="6" t="s">
        <v>125</v>
      </c>
      <c r="C62" s="6" t="s">
        <v>128</v>
      </c>
      <c r="D62" s="6" t="s">
        <v>52</v>
      </c>
      <c r="E62" s="7" t="n">
        <v>29.95</v>
      </c>
      <c r="F62" s="7" t="n">
        <v>29.95</v>
      </c>
      <c r="G62" s="6" t="s">
        <v>39</v>
      </c>
      <c r="H62" s="7" t="n">
        <v>29.95</v>
      </c>
      <c r="I62" s="7"/>
      <c r="J62" s="7"/>
      <c r="K62" s="6" t="s">
        <v>32</v>
      </c>
      <c r="L62" s="6" t="s">
        <v>33</v>
      </c>
      <c r="M62" s="8" t="n">
        <f aca="false">IF(H62&lt;E62,(E62-H62)/H62,IF(H62&gt;F62,(F62-H62)/H62,0))</f>
        <v>0</v>
      </c>
      <c r="N62" s="9" t="s">
        <v>34</v>
      </c>
      <c r="O62" s="9" t="s">
        <v>34</v>
      </c>
    </row>
    <row r="63" customFormat="false" ht="15" hidden="false" customHeight="false" outlineLevel="0" collapsed="false">
      <c r="A63" s="6" t="s">
        <v>129</v>
      </c>
      <c r="B63" s="6" t="s">
        <v>130</v>
      </c>
      <c r="C63" s="6" t="s">
        <v>131</v>
      </c>
      <c r="D63" s="6" t="s">
        <v>69</v>
      </c>
      <c r="E63" s="7" t="n">
        <v>110</v>
      </c>
      <c r="F63" s="7" t="n">
        <v>110</v>
      </c>
      <c r="G63" s="6" t="s">
        <v>31</v>
      </c>
      <c r="H63" s="7" t="n">
        <v>89.99</v>
      </c>
      <c r="I63" s="7"/>
      <c r="J63" s="7"/>
      <c r="K63" s="6" t="s">
        <v>40</v>
      </c>
      <c r="L63" s="6" t="s">
        <v>33</v>
      </c>
      <c r="M63" s="8" t="n">
        <f aca="false">IF(H63&lt;E63,(E63-H63)/H63,IF(H63&gt;F63,(F63-H63)/H63,0))</f>
        <v>0.222358039782198</v>
      </c>
      <c r="N63" s="9" t="s">
        <v>34</v>
      </c>
      <c r="O63" s="9" t="s">
        <v>34</v>
      </c>
    </row>
    <row r="64" customFormat="false" ht="15" hidden="false" customHeight="false" outlineLevel="0" collapsed="false">
      <c r="A64" s="6" t="s">
        <v>132</v>
      </c>
      <c r="B64" s="6" t="s">
        <v>130</v>
      </c>
      <c r="C64" s="6" t="s">
        <v>133</v>
      </c>
      <c r="D64" s="6" t="s">
        <v>38</v>
      </c>
      <c r="E64" s="7" t="n">
        <v>59</v>
      </c>
      <c r="F64" s="7" t="n">
        <v>69</v>
      </c>
      <c r="G64" s="6" t="s">
        <v>31</v>
      </c>
      <c r="H64" s="7" t="n">
        <v>38.99</v>
      </c>
      <c r="I64" s="7"/>
      <c r="J64" s="7"/>
      <c r="K64" s="6" t="s">
        <v>32</v>
      </c>
      <c r="L64" s="6" t="s">
        <v>45</v>
      </c>
      <c r="M64" s="8" t="n">
        <f aca="false">IF(H64&lt;E64,(E64-H64)/H64,IF(H64&gt;F64,(F64-H64)/H64,0))</f>
        <v>0.513208515003847</v>
      </c>
      <c r="N64" s="9" t="s">
        <v>34</v>
      </c>
      <c r="O64" s="9" t="s">
        <v>34</v>
      </c>
    </row>
    <row r="65" customFormat="false" ht="15" hidden="false" customHeight="false" outlineLevel="0" collapsed="false">
      <c r="A65" s="6" t="s">
        <v>134</v>
      </c>
      <c r="B65" s="6" t="s">
        <v>130</v>
      </c>
      <c r="C65" s="6" t="s">
        <v>135</v>
      </c>
      <c r="D65" s="6" t="s">
        <v>69</v>
      </c>
      <c r="E65" s="7" t="n">
        <v>12</v>
      </c>
      <c r="F65" s="7" t="n">
        <v>12</v>
      </c>
      <c r="G65" s="6" t="s">
        <v>31</v>
      </c>
      <c r="H65" s="7" t="n">
        <v>8.59</v>
      </c>
      <c r="I65" s="7"/>
      <c r="J65" s="7"/>
      <c r="K65" s="6" t="s">
        <v>32</v>
      </c>
      <c r="L65" s="6" t="s">
        <v>93</v>
      </c>
      <c r="M65" s="8" t="n">
        <f aca="false">IF(H65&lt;E65,(E65-H65)/H65,IF(H65&gt;F65,(F65-H65)/H65,0))</f>
        <v>0.39697322467986</v>
      </c>
      <c r="N65" s="9" t="s">
        <v>34</v>
      </c>
      <c r="O65" s="9" t="s">
        <v>34</v>
      </c>
    </row>
    <row r="66" customFormat="false" ht="15" hidden="false" customHeight="false" outlineLevel="0" collapsed="false">
      <c r="A66" s="6" t="s">
        <v>136</v>
      </c>
      <c r="B66" s="6" t="s">
        <v>130</v>
      </c>
      <c r="C66" s="6" t="s">
        <v>137</v>
      </c>
      <c r="D66" s="6" t="s">
        <v>138</v>
      </c>
      <c r="E66" s="7" t="n">
        <v>65</v>
      </c>
      <c r="F66" s="7" t="n">
        <v>75</v>
      </c>
      <c r="G66" s="6" t="s">
        <v>31</v>
      </c>
      <c r="H66" s="7" t="n">
        <v>58.29</v>
      </c>
      <c r="I66" s="7"/>
      <c r="J66" s="7"/>
      <c r="K66" s="6" t="s">
        <v>32</v>
      </c>
      <c r="L66" s="6" t="s">
        <v>45</v>
      </c>
      <c r="M66" s="8" t="n">
        <f aca="false">IF(H66&lt;E66,(E66-H66)/H66,IF(H66&gt;F66,(F66-H66)/H66,0))</f>
        <v>0.11511408474867</v>
      </c>
      <c r="N66" s="9" t="s">
        <v>34</v>
      </c>
      <c r="O66" s="9" t="s">
        <v>34</v>
      </c>
    </row>
    <row r="67" customFormat="false" ht="15" hidden="false" customHeight="false" outlineLevel="0" collapsed="false">
      <c r="A67" s="6" t="s">
        <v>139</v>
      </c>
      <c r="B67" s="6" t="s">
        <v>140</v>
      </c>
      <c r="C67" s="6" t="s">
        <v>141</v>
      </c>
      <c r="D67" s="6" t="s">
        <v>38</v>
      </c>
      <c r="E67" s="7" t="n">
        <v>2.5</v>
      </c>
      <c r="F67" s="7" t="n">
        <v>2.5</v>
      </c>
      <c r="G67" s="6" t="s">
        <v>142</v>
      </c>
      <c r="H67" s="7" t="n">
        <v>3</v>
      </c>
      <c r="I67" s="7"/>
      <c r="J67" s="7"/>
      <c r="K67" s="6" t="s">
        <v>32</v>
      </c>
      <c r="L67" s="6" t="s">
        <v>33</v>
      </c>
      <c r="M67" s="8" t="n">
        <f aca="false">IF(H67&lt;E67,(E67-H67)/H67,IF(H67&gt;F67,(F67-H67)/H67,0))</f>
        <v>-0.166666666666667</v>
      </c>
      <c r="N67" s="9" t="s">
        <v>34</v>
      </c>
      <c r="O67" s="9" t="s">
        <v>34</v>
      </c>
    </row>
    <row r="68" customFormat="false" ht="15" hidden="false" customHeight="false" outlineLevel="0" collapsed="false">
      <c r="A68" s="6" t="s">
        <v>143</v>
      </c>
      <c r="B68" s="6" t="s">
        <v>144</v>
      </c>
      <c r="C68" s="6" t="s">
        <v>145</v>
      </c>
      <c r="D68" s="6" t="s">
        <v>146</v>
      </c>
      <c r="E68" s="7" t="n">
        <v>6.7</v>
      </c>
      <c r="F68" s="7" t="n">
        <v>6.7</v>
      </c>
      <c r="G68" s="6" t="s">
        <v>147</v>
      </c>
      <c r="H68" s="7" t="n">
        <v>4.95</v>
      </c>
      <c r="I68" s="7"/>
      <c r="J68" s="7"/>
      <c r="K68" s="6" t="s">
        <v>32</v>
      </c>
      <c r="L68" s="6" t="s">
        <v>93</v>
      </c>
      <c r="M68" s="8" t="n">
        <f aca="false">IF(H68&lt;E68,(E68-H68)/H68,IF(H68&gt;F68,(F68-H68)/H68,0))</f>
        <v>0.353535353535354</v>
      </c>
      <c r="N68" s="9" t="s">
        <v>34</v>
      </c>
      <c r="O68" s="9" t="s">
        <v>34</v>
      </c>
    </row>
    <row r="69" customFormat="false" ht="15" hidden="false" customHeight="false" outlineLevel="0" collapsed="false">
      <c r="A69" s="6" t="s">
        <v>143</v>
      </c>
      <c r="B69" s="6" t="s">
        <v>144</v>
      </c>
      <c r="C69" s="6" t="s">
        <v>145</v>
      </c>
      <c r="D69" s="6" t="s">
        <v>146</v>
      </c>
      <c r="E69" s="7" t="n">
        <v>6.7</v>
      </c>
      <c r="F69" s="7" t="n">
        <v>6.7</v>
      </c>
      <c r="G69" s="6" t="s">
        <v>105</v>
      </c>
      <c r="H69" s="7" t="n">
        <v>6.97</v>
      </c>
      <c r="I69" s="7"/>
      <c r="J69" s="7"/>
      <c r="K69" s="6" t="s">
        <v>106</v>
      </c>
      <c r="L69" s="6" t="s">
        <v>93</v>
      </c>
      <c r="M69" s="8" t="n">
        <f aca="false">IF(H69&lt;E69,(E69-H69)/H69,IF(H69&gt;F69,(F69-H69)/H69,0))</f>
        <v>-0.0387374461979913</v>
      </c>
      <c r="N69" s="9" t="s">
        <v>34</v>
      </c>
      <c r="O69" s="9" t="s">
        <v>34</v>
      </c>
    </row>
    <row r="70" customFormat="false" ht="15" hidden="false" customHeight="false" outlineLevel="0" collapsed="false">
      <c r="A70" s="6" t="s">
        <v>148</v>
      </c>
      <c r="B70" s="6" t="s">
        <v>144</v>
      </c>
      <c r="C70" s="6" t="s">
        <v>149</v>
      </c>
      <c r="D70" s="6" t="s">
        <v>150</v>
      </c>
      <c r="E70" s="7" t="n">
        <v>6.5</v>
      </c>
      <c r="F70" s="7" t="n">
        <v>6.5</v>
      </c>
      <c r="G70" s="6" t="s">
        <v>105</v>
      </c>
      <c r="H70" s="7" t="n">
        <v>8.08</v>
      </c>
      <c r="I70" s="7"/>
      <c r="J70" s="7"/>
      <c r="K70" s="6" t="s">
        <v>106</v>
      </c>
      <c r="L70" s="6" t="s">
        <v>45</v>
      </c>
      <c r="M70" s="8" t="n">
        <f aca="false">IF(H70&lt;E70,(E70-H70)/H70,IF(H70&gt;F70,(F70-H70)/H70,0))</f>
        <v>-0.195544554455446</v>
      </c>
      <c r="N70" s="9" t="s">
        <v>34</v>
      </c>
      <c r="O70" s="9" t="s">
        <v>34</v>
      </c>
    </row>
    <row r="71" customFormat="false" ht="15" hidden="false" customHeight="false" outlineLevel="0" collapsed="false">
      <c r="A71" s="6" t="s">
        <v>151</v>
      </c>
      <c r="B71" s="6" t="s">
        <v>144</v>
      </c>
      <c r="C71" s="6" t="s">
        <v>152</v>
      </c>
      <c r="D71" s="6" t="s">
        <v>153</v>
      </c>
      <c r="E71" s="7" t="n">
        <v>5.9</v>
      </c>
      <c r="F71" s="7" t="n">
        <v>5.9</v>
      </c>
      <c r="G71" s="6" t="s">
        <v>147</v>
      </c>
      <c r="H71" s="7" t="n">
        <v>4.95</v>
      </c>
      <c r="I71" s="7"/>
      <c r="J71" s="7"/>
      <c r="K71" s="6" t="s">
        <v>32</v>
      </c>
      <c r="L71" s="6" t="s">
        <v>93</v>
      </c>
      <c r="M71" s="8" t="n">
        <f aca="false">IF(H71&lt;E71,(E71-H71)/H71,IF(H71&gt;F71,(F71-H71)/H71,0))</f>
        <v>0.191919191919192</v>
      </c>
      <c r="N71" s="9" t="s">
        <v>34</v>
      </c>
      <c r="O71" s="9" t="s">
        <v>34</v>
      </c>
    </row>
    <row r="72" customFormat="false" ht="15" hidden="false" customHeight="false" outlineLevel="0" collapsed="false">
      <c r="A72" s="6" t="s">
        <v>151</v>
      </c>
      <c r="B72" s="6" t="s">
        <v>144</v>
      </c>
      <c r="C72" s="6" t="s">
        <v>152</v>
      </c>
      <c r="D72" s="6" t="s">
        <v>153</v>
      </c>
      <c r="E72" s="7" t="n">
        <v>5.9</v>
      </c>
      <c r="F72" s="7" t="n">
        <v>5.9</v>
      </c>
      <c r="G72" s="6" t="s">
        <v>105</v>
      </c>
      <c r="H72" s="7" t="n">
        <v>6.97</v>
      </c>
      <c r="I72" s="7"/>
      <c r="J72" s="7"/>
      <c r="K72" s="6" t="s">
        <v>106</v>
      </c>
      <c r="L72" s="6" t="s">
        <v>93</v>
      </c>
      <c r="M72" s="8" t="n">
        <f aca="false">IF(H72&lt;E72,(E72-H72)/H72,IF(H72&gt;F72,(F72-H72)/H72,0))</f>
        <v>-0.15351506456241</v>
      </c>
      <c r="N72" s="9" t="s">
        <v>34</v>
      </c>
      <c r="O72" s="9" t="s">
        <v>34</v>
      </c>
    </row>
    <row r="73" customFormat="false" ht="15" hidden="false" customHeight="false" outlineLevel="0" collapsed="false">
      <c r="A73" s="6" t="s">
        <v>154</v>
      </c>
      <c r="B73" s="6" t="s">
        <v>155</v>
      </c>
      <c r="C73" s="6" t="s">
        <v>156</v>
      </c>
      <c r="D73" s="6" t="s">
        <v>38</v>
      </c>
      <c r="E73" s="7" t="n">
        <v>6.95</v>
      </c>
      <c r="F73" s="7" t="n">
        <v>6.95</v>
      </c>
      <c r="G73" s="6" t="s">
        <v>31</v>
      </c>
      <c r="H73" s="7" t="n">
        <v>6.85</v>
      </c>
      <c r="I73" s="7"/>
      <c r="J73" s="7"/>
      <c r="K73" s="6" t="s">
        <v>32</v>
      </c>
      <c r="L73" s="6" t="s">
        <v>33</v>
      </c>
      <c r="M73" s="8" t="n">
        <f aca="false">IF(H73&lt;E73,(E73-H73)/H73,IF(H73&gt;F73,(F73-H73)/H73,0))</f>
        <v>0.0145985401459855</v>
      </c>
      <c r="N73" s="9" t="s">
        <v>34</v>
      </c>
      <c r="O73" s="9" t="s">
        <v>34</v>
      </c>
    </row>
    <row r="74" customFormat="false" ht="15" hidden="false" customHeight="false" outlineLevel="0" collapsed="false">
      <c r="A74" s="6" t="s">
        <v>157</v>
      </c>
      <c r="B74" s="6" t="s">
        <v>155</v>
      </c>
      <c r="C74" s="6" t="s">
        <v>158</v>
      </c>
      <c r="D74" s="6" t="s">
        <v>38</v>
      </c>
      <c r="E74" s="7" t="n">
        <v>7.95</v>
      </c>
      <c r="F74" s="7" t="n">
        <v>7.95</v>
      </c>
      <c r="G74" s="6" t="s">
        <v>31</v>
      </c>
      <c r="H74" s="7" t="n">
        <v>6.85</v>
      </c>
      <c r="I74" s="7"/>
      <c r="J74" s="7"/>
      <c r="K74" s="6" t="s">
        <v>32</v>
      </c>
      <c r="L74" s="6" t="s">
        <v>33</v>
      </c>
      <c r="M74" s="8" t="n">
        <f aca="false">IF(H74&lt;E74,(E74-H74)/H74,IF(H74&gt;F74,(F74-H74)/H74,0))</f>
        <v>0.16058394160584</v>
      </c>
      <c r="N74" s="9" t="s">
        <v>34</v>
      </c>
      <c r="O74" s="9" t="s">
        <v>34</v>
      </c>
    </row>
    <row r="75" customFormat="false" ht="15" hidden="false" customHeight="false" outlineLevel="0" collapsed="false">
      <c r="A75" s="6" t="s">
        <v>159</v>
      </c>
      <c r="B75" s="6" t="s">
        <v>160</v>
      </c>
      <c r="C75" s="6" t="s">
        <v>161</v>
      </c>
      <c r="D75" s="6" t="s">
        <v>162</v>
      </c>
      <c r="E75" s="7" t="n">
        <v>13.99</v>
      </c>
      <c r="F75" s="7" t="n">
        <v>13.99</v>
      </c>
      <c r="G75" s="6" t="s">
        <v>31</v>
      </c>
      <c r="H75" s="7" t="n">
        <v>8.99</v>
      </c>
      <c r="I75" s="7"/>
      <c r="J75" s="7"/>
      <c r="K75" s="6" t="s">
        <v>32</v>
      </c>
      <c r="L75" s="6" t="s">
        <v>33</v>
      </c>
      <c r="M75" s="8" t="n">
        <f aca="false">IF(H75&lt;E75,(E75-H75)/H75,IF(H75&gt;F75,(F75-H75)/H75,0))</f>
        <v>0.556173526140156</v>
      </c>
      <c r="N75" s="9" t="s">
        <v>34</v>
      </c>
      <c r="O75" s="9" t="s">
        <v>34</v>
      </c>
    </row>
    <row r="76" customFormat="false" ht="15" hidden="false" customHeight="false" outlineLevel="0" collapsed="false">
      <c r="A76" s="6" t="s">
        <v>163</v>
      </c>
      <c r="B76" s="6" t="s">
        <v>164</v>
      </c>
      <c r="C76" s="6" t="s">
        <v>165</v>
      </c>
      <c r="D76" s="6" t="s">
        <v>52</v>
      </c>
      <c r="E76" s="7" t="n">
        <v>245</v>
      </c>
      <c r="F76" s="7" t="n">
        <v>279</v>
      </c>
      <c r="G76" s="6" t="s">
        <v>31</v>
      </c>
      <c r="H76" s="7" t="n">
        <v>229</v>
      </c>
      <c r="I76" s="7"/>
      <c r="J76" s="7"/>
      <c r="K76" s="6" t="s">
        <v>32</v>
      </c>
      <c r="L76" s="6" t="s">
        <v>33</v>
      </c>
      <c r="M76" s="8" t="n">
        <f aca="false">IF(H76&lt;E76,(E76-H76)/H76,IF(H76&gt;F76,(F76-H76)/H76,0))</f>
        <v>0.0698689956331878</v>
      </c>
      <c r="N76" s="9" t="s">
        <v>34</v>
      </c>
      <c r="O76" s="9" t="s">
        <v>34</v>
      </c>
    </row>
    <row r="77" customFormat="false" ht="15" hidden="false" customHeight="false" outlineLevel="0" collapsed="false">
      <c r="A77" s="6" t="s">
        <v>166</v>
      </c>
      <c r="B77" s="6" t="s">
        <v>164</v>
      </c>
      <c r="C77" s="6" t="s">
        <v>167</v>
      </c>
      <c r="D77" s="6" t="s">
        <v>52</v>
      </c>
      <c r="E77" s="7" t="n">
        <v>274</v>
      </c>
      <c r="F77" s="7" t="n">
        <v>284</v>
      </c>
      <c r="G77" s="6" t="s">
        <v>31</v>
      </c>
      <c r="H77" s="7" t="n">
        <v>257.89</v>
      </c>
      <c r="I77" s="7"/>
      <c r="J77" s="7"/>
      <c r="K77" s="6" t="s">
        <v>32</v>
      </c>
      <c r="L77" s="6" t="s">
        <v>33</v>
      </c>
      <c r="M77" s="8" t="n">
        <f aca="false">IF(H77&lt;E77,(E77-H77)/H77,IF(H77&gt;F77,(F77-H77)/H77,0))</f>
        <v>0.0624684943192835</v>
      </c>
      <c r="N77" s="9" t="s">
        <v>34</v>
      </c>
      <c r="O77" s="9" t="s">
        <v>34</v>
      </c>
    </row>
    <row r="78" customFormat="false" ht="15" hidden="false" customHeight="false" outlineLevel="0" collapsed="false">
      <c r="A78" s="6" t="s">
        <v>168</v>
      </c>
      <c r="B78" s="6" t="s">
        <v>164</v>
      </c>
      <c r="C78" s="6" t="s">
        <v>169</v>
      </c>
      <c r="D78" s="6" t="s">
        <v>30</v>
      </c>
      <c r="E78" s="7" t="n">
        <v>125</v>
      </c>
      <c r="F78" s="7" t="n">
        <v>139</v>
      </c>
      <c r="G78" s="6" t="s">
        <v>31</v>
      </c>
      <c r="H78" s="7" t="n">
        <v>201</v>
      </c>
      <c r="I78" s="7"/>
      <c r="J78" s="7"/>
      <c r="K78" s="6" t="s">
        <v>32</v>
      </c>
      <c r="L78" s="6" t="s">
        <v>33</v>
      </c>
      <c r="M78" s="8" t="n">
        <f aca="false">IF(H78&lt;E78,(E78-H78)/H78,IF(H78&gt;F78,(F78-H78)/H78,0))</f>
        <v>-0.308457711442786</v>
      </c>
      <c r="N78" s="9" t="s">
        <v>34</v>
      </c>
      <c r="O78" s="9" t="s">
        <v>34</v>
      </c>
    </row>
    <row r="79" customFormat="false" ht="15" hidden="false" customHeight="false" outlineLevel="0" collapsed="false">
      <c r="A79" s="6" t="s">
        <v>170</v>
      </c>
      <c r="B79" s="6" t="s">
        <v>164</v>
      </c>
      <c r="C79" s="6" t="s">
        <v>171</v>
      </c>
      <c r="D79" s="6" t="s">
        <v>30</v>
      </c>
      <c r="E79" s="7" t="n">
        <v>89</v>
      </c>
      <c r="F79" s="7" t="n">
        <v>89</v>
      </c>
      <c r="G79" s="6" t="s">
        <v>31</v>
      </c>
      <c r="H79" s="7" t="n">
        <v>82.59</v>
      </c>
      <c r="I79" s="7"/>
      <c r="J79" s="7"/>
      <c r="K79" s="6" t="s">
        <v>32</v>
      </c>
      <c r="L79" s="6" t="s">
        <v>33</v>
      </c>
      <c r="M79" s="8" t="n">
        <f aca="false">IF(H79&lt;E79,(E79-H79)/H79,IF(H79&gt;F79,(F79-H79)/H79,0))</f>
        <v>0.0776123017314444</v>
      </c>
      <c r="N79" s="9" t="s">
        <v>34</v>
      </c>
      <c r="O79" s="9" t="s">
        <v>34</v>
      </c>
    </row>
    <row r="80" customFormat="false" ht="15" hidden="false" customHeight="false" outlineLevel="0" collapsed="false">
      <c r="A80" s="6" t="s">
        <v>172</v>
      </c>
      <c r="B80" s="6" t="s">
        <v>164</v>
      </c>
      <c r="C80" s="6" t="s">
        <v>173</v>
      </c>
      <c r="D80" s="6" t="s">
        <v>38</v>
      </c>
      <c r="E80" s="7" t="n">
        <v>59.9</v>
      </c>
      <c r="F80" s="7" t="n">
        <v>65</v>
      </c>
      <c r="G80" s="6" t="s">
        <v>31</v>
      </c>
      <c r="H80" s="7" t="n">
        <v>57.99</v>
      </c>
      <c r="I80" s="7"/>
      <c r="J80" s="7"/>
      <c r="K80" s="6" t="s">
        <v>40</v>
      </c>
      <c r="L80" s="6" t="s">
        <v>33</v>
      </c>
      <c r="M80" s="8" t="n">
        <f aca="false">IF(H80&lt;E80,(E80-H80)/H80,IF(H80&gt;F80,(F80-H80)/H80,0))</f>
        <v>0.0329367132264183</v>
      </c>
      <c r="N80" s="9" t="s">
        <v>34</v>
      </c>
      <c r="O80" s="9" t="s">
        <v>34</v>
      </c>
    </row>
    <row r="81" customFormat="false" ht="15" hidden="false" customHeight="false" outlineLevel="0" collapsed="false">
      <c r="A81" s="6" t="s">
        <v>174</v>
      </c>
      <c r="B81" s="6" t="s">
        <v>164</v>
      </c>
      <c r="C81" s="6" t="s">
        <v>175</v>
      </c>
      <c r="D81" s="6" t="s">
        <v>176</v>
      </c>
      <c r="E81" s="7" t="n">
        <v>85</v>
      </c>
      <c r="F81" s="7" t="n">
        <v>112</v>
      </c>
      <c r="G81" s="6" t="s">
        <v>31</v>
      </c>
      <c r="H81" s="7" t="n">
        <v>68.49</v>
      </c>
      <c r="I81" s="7"/>
      <c r="J81" s="7"/>
      <c r="K81" s="6" t="s">
        <v>32</v>
      </c>
      <c r="L81" s="6" t="s">
        <v>33</v>
      </c>
      <c r="M81" s="8" t="n">
        <f aca="false">IF(H81&lt;E81,(E81-H81)/H81,IF(H81&gt;F81,(F81-H81)/H81,0))</f>
        <v>0.241057088626077</v>
      </c>
      <c r="N81" s="9" t="s">
        <v>34</v>
      </c>
      <c r="O81" s="9" t="s">
        <v>34</v>
      </c>
    </row>
    <row r="82" customFormat="false" ht="15" hidden="false" customHeight="false" outlineLevel="0" collapsed="false">
      <c r="A82" s="6" t="s">
        <v>177</v>
      </c>
      <c r="B82" s="6" t="s">
        <v>178</v>
      </c>
      <c r="C82" s="6" t="s">
        <v>179</v>
      </c>
      <c r="D82" s="6" t="s">
        <v>69</v>
      </c>
      <c r="E82" s="7" t="n">
        <v>23</v>
      </c>
      <c r="F82" s="7" t="n">
        <v>23</v>
      </c>
      <c r="G82" s="6" t="s">
        <v>31</v>
      </c>
      <c r="H82" s="7" t="n">
        <v>19.99</v>
      </c>
      <c r="I82" s="7"/>
      <c r="J82" s="7"/>
      <c r="K82" s="6" t="s">
        <v>32</v>
      </c>
      <c r="L82" s="6" t="s">
        <v>93</v>
      </c>
      <c r="M82" s="8" t="n">
        <f aca="false">IF(H82&lt;E82,(E82-H82)/H82,IF(H82&gt;F82,(F82-H82)/H82,0))</f>
        <v>0.150575287643822</v>
      </c>
      <c r="N82" s="9" t="s">
        <v>34</v>
      </c>
      <c r="O82" s="9" t="s">
        <v>34</v>
      </c>
    </row>
    <row r="83" customFormat="false" ht="15" hidden="false" customHeight="false" outlineLevel="0" collapsed="false">
      <c r="A83" s="6" t="s">
        <v>177</v>
      </c>
      <c r="B83" s="6" t="s">
        <v>178</v>
      </c>
      <c r="C83" s="6" t="s">
        <v>179</v>
      </c>
      <c r="D83" s="6" t="s">
        <v>69</v>
      </c>
      <c r="E83" s="7" t="n">
        <v>23</v>
      </c>
      <c r="F83" s="7" t="n">
        <v>23</v>
      </c>
      <c r="G83" s="6" t="s">
        <v>105</v>
      </c>
      <c r="H83" s="7" t="n">
        <v>19.7</v>
      </c>
      <c r="I83" s="7"/>
      <c r="J83" s="7"/>
      <c r="K83" s="6" t="s">
        <v>106</v>
      </c>
      <c r="L83" s="6" t="s">
        <v>93</v>
      </c>
      <c r="M83" s="8" t="n">
        <f aca="false">IF(H83&lt;E83,(E83-H83)/H83,IF(H83&gt;F83,(F83-H83)/H83,0))</f>
        <v>0.16751269035533</v>
      </c>
      <c r="N83" s="9" t="s">
        <v>34</v>
      </c>
      <c r="O83" s="9" t="s">
        <v>34</v>
      </c>
    </row>
    <row r="84" customFormat="false" ht="15" hidden="false" customHeight="false" outlineLevel="0" collapsed="false">
      <c r="A84" s="6" t="s">
        <v>180</v>
      </c>
      <c r="B84" s="6" t="s">
        <v>178</v>
      </c>
      <c r="C84" s="6" t="s">
        <v>181</v>
      </c>
      <c r="D84" s="6" t="s">
        <v>69</v>
      </c>
      <c r="E84" s="7" t="n">
        <v>25</v>
      </c>
      <c r="F84" s="7" t="n">
        <v>25</v>
      </c>
      <c r="G84" s="6" t="s">
        <v>31</v>
      </c>
      <c r="H84" s="7" t="n">
        <v>19.99</v>
      </c>
      <c r="I84" s="7"/>
      <c r="J84" s="7"/>
      <c r="K84" s="6" t="s">
        <v>32</v>
      </c>
      <c r="L84" s="6" t="s">
        <v>93</v>
      </c>
      <c r="M84" s="8" t="n">
        <f aca="false">IF(H84&lt;E84,(E84-H84)/H84,IF(H84&gt;F84,(F84-H84)/H84,0))</f>
        <v>0.250625312656328</v>
      </c>
      <c r="N84" s="9" t="s">
        <v>34</v>
      </c>
      <c r="O84" s="9" t="s">
        <v>34</v>
      </c>
    </row>
    <row r="85" customFormat="false" ht="15" hidden="false" customHeight="false" outlineLevel="0" collapsed="false">
      <c r="A85" s="6" t="s">
        <v>180</v>
      </c>
      <c r="B85" s="6" t="s">
        <v>178</v>
      </c>
      <c r="C85" s="6" t="s">
        <v>181</v>
      </c>
      <c r="D85" s="6" t="s">
        <v>69</v>
      </c>
      <c r="E85" s="7" t="n">
        <v>25</v>
      </c>
      <c r="F85" s="7" t="n">
        <v>25</v>
      </c>
      <c r="G85" s="6" t="s">
        <v>105</v>
      </c>
      <c r="H85" s="7" t="n">
        <v>19.7</v>
      </c>
      <c r="I85" s="7"/>
      <c r="J85" s="7"/>
      <c r="K85" s="6" t="s">
        <v>106</v>
      </c>
      <c r="L85" s="6" t="s">
        <v>93</v>
      </c>
      <c r="M85" s="8" t="n">
        <f aca="false">IF(H85&lt;E85,(E85-H85)/H85,IF(H85&gt;F85,(F85-H85)/H85,0))</f>
        <v>0.269035532994924</v>
      </c>
      <c r="N85" s="9" t="s">
        <v>34</v>
      </c>
      <c r="O85" s="9" t="s">
        <v>34</v>
      </c>
    </row>
    <row r="86" customFormat="false" ht="15" hidden="false" customHeight="false" outlineLevel="0" collapsed="false">
      <c r="A86" s="6" t="s">
        <v>182</v>
      </c>
      <c r="B86" s="6" t="s">
        <v>178</v>
      </c>
      <c r="C86" s="6" t="s">
        <v>183</v>
      </c>
      <c r="D86" s="6" t="s">
        <v>38</v>
      </c>
      <c r="E86" s="7" t="n">
        <v>15.9</v>
      </c>
      <c r="F86" s="7" t="n">
        <v>15.9</v>
      </c>
      <c r="G86" s="6" t="s">
        <v>31</v>
      </c>
      <c r="H86" s="7" t="n">
        <v>12.68</v>
      </c>
      <c r="I86" s="7"/>
      <c r="J86" s="7"/>
      <c r="K86" s="6" t="s">
        <v>32</v>
      </c>
      <c r="L86" s="6" t="s">
        <v>93</v>
      </c>
      <c r="M86" s="8" t="n">
        <f aca="false">IF(H86&lt;E86,(E86-H86)/H86,IF(H86&gt;F86,(F86-H86)/H86,0))</f>
        <v>0.253943217665615</v>
      </c>
      <c r="N86" s="9" t="s">
        <v>34</v>
      </c>
      <c r="O86" s="9" t="s">
        <v>34</v>
      </c>
    </row>
    <row r="87" customFormat="false" ht="15" hidden="false" customHeight="false" outlineLevel="0" collapsed="false">
      <c r="A87" s="6" t="s">
        <v>184</v>
      </c>
      <c r="B87" s="6" t="s">
        <v>178</v>
      </c>
      <c r="C87" s="6" t="s">
        <v>185</v>
      </c>
      <c r="D87" s="6" t="s">
        <v>38</v>
      </c>
      <c r="E87" s="7" t="n">
        <v>14.9</v>
      </c>
      <c r="F87" s="7" t="n">
        <v>14.9</v>
      </c>
      <c r="G87" s="6" t="s">
        <v>31</v>
      </c>
      <c r="H87" s="7" t="n">
        <v>12.68</v>
      </c>
      <c r="I87" s="7"/>
      <c r="J87" s="7"/>
      <c r="K87" s="6" t="s">
        <v>32</v>
      </c>
      <c r="L87" s="6" t="s">
        <v>93</v>
      </c>
      <c r="M87" s="8" t="n">
        <f aca="false">IF(H87&lt;E87,(E87-H87)/H87,IF(H87&gt;F87,(F87-H87)/H87,0))</f>
        <v>0.175078864353312</v>
      </c>
      <c r="N87" s="9" t="s">
        <v>34</v>
      </c>
      <c r="O87" s="9" t="s">
        <v>34</v>
      </c>
    </row>
    <row r="88" customFormat="false" ht="15" hidden="false" customHeight="false" outlineLevel="0" collapsed="false">
      <c r="A88" s="6" t="s">
        <v>186</v>
      </c>
      <c r="B88" s="6" t="s">
        <v>178</v>
      </c>
      <c r="C88" s="6" t="s">
        <v>187</v>
      </c>
      <c r="D88" s="6" t="s">
        <v>52</v>
      </c>
      <c r="E88" s="7" t="n">
        <v>12.5</v>
      </c>
      <c r="F88" s="7" t="n">
        <v>12.5</v>
      </c>
      <c r="G88" s="6" t="s">
        <v>31</v>
      </c>
      <c r="H88" s="7" t="n">
        <v>11.55</v>
      </c>
      <c r="I88" s="7"/>
      <c r="J88" s="7"/>
      <c r="K88" s="6" t="s">
        <v>32</v>
      </c>
      <c r="L88" s="6" t="s">
        <v>93</v>
      </c>
      <c r="M88" s="8" t="n">
        <f aca="false">IF(H88&lt;E88,(E88-H88)/H88,IF(H88&gt;F88,(F88-H88)/H88,0))</f>
        <v>0.0822510822510822</v>
      </c>
      <c r="N88" s="9" t="s">
        <v>34</v>
      </c>
      <c r="O88" s="9" t="s">
        <v>34</v>
      </c>
    </row>
    <row r="89" customFormat="false" ht="15" hidden="false" customHeight="false" outlineLevel="0" collapsed="false">
      <c r="A89" s="6" t="s">
        <v>188</v>
      </c>
      <c r="B89" s="6" t="s">
        <v>178</v>
      </c>
      <c r="C89" s="6" t="s">
        <v>189</v>
      </c>
      <c r="D89" s="6" t="s">
        <v>52</v>
      </c>
      <c r="E89" s="7" t="n">
        <v>14.5</v>
      </c>
      <c r="F89" s="7" t="n">
        <v>14.5</v>
      </c>
      <c r="G89" s="6" t="s">
        <v>31</v>
      </c>
      <c r="H89" s="7" t="n">
        <v>11.55</v>
      </c>
      <c r="I89" s="7"/>
      <c r="J89" s="7"/>
      <c r="K89" s="6" t="s">
        <v>32</v>
      </c>
      <c r="L89" s="6" t="s">
        <v>93</v>
      </c>
      <c r="M89" s="8" t="n">
        <f aca="false">IF(H89&lt;E89,(E89-H89)/H89,IF(H89&gt;F89,(F89-H89)/H89,0))</f>
        <v>0.255411255411255</v>
      </c>
      <c r="N89" s="9" t="s">
        <v>34</v>
      </c>
      <c r="O89" s="9" t="s">
        <v>34</v>
      </c>
    </row>
    <row r="90" customFormat="false" ht="15" hidden="false" customHeight="false" outlineLevel="0" collapsed="false">
      <c r="A90" s="6" t="s">
        <v>190</v>
      </c>
      <c r="B90" s="6" t="s">
        <v>178</v>
      </c>
      <c r="C90" s="6" t="s">
        <v>191</v>
      </c>
      <c r="D90" s="6" t="s">
        <v>52</v>
      </c>
      <c r="E90" s="7" t="n">
        <v>15.5</v>
      </c>
      <c r="F90" s="7" t="n">
        <v>15.5</v>
      </c>
      <c r="G90" s="6" t="s">
        <v>31</v>
      </c>
      <c r="H90" s="7" t="n">
        <v>11.55</v>
      </c>
      <c r="I90" s="7"/>
      <c r="J90" s="7"/>
      <c r="K90" s="6" t="s">
        <v>32</v>
      </c>
      <c r="L90" s="6" t="s">
        <v>93</v>
      </c>
      <c r="M90" s="8" t="n">
        <f aca="false">IF(H90&lt;E90,(E90-H90)/H90,IF(H90&gt;F90,(F90-H90)/H90,0))</f>
        <v>0.341991341991342</v>
      </c>
      <c r="N90" s="9" t="s">
        <v>34</v>
      </c>
      <c r="O90" s="9" t="s">
        <v>34</v>
      </c>
    </row>
    <row r="91" customFormat="false" ht="15" hidden="false" customHeight="false" outlineLevel="0" collapsed="false">
      <c r="A91" s="6" t="s">
        <v>192</v>
      </c>
      <c r="B91" s="6" t="s">
        <v>193</v>
      </c>
      <c r="C91" s="6" t="s">
        <v>194</v>
      </c>
      <c r="D91" s="6" t="s">
        <v>69</v>
      </c>
      <c r="E91" s="7" t="n">
        <v>7.5</v>
      </c>
      <c r="F91" s="7" t="n">
        <v>7.5</v>
      </c>
      <c r="G91" s="6" t="s">
        <v>39</v>
      </c>
      <c r="H91" s="7" t="n">
        <v>3.99</v>
      </c>
      <c r="I91" s="7"/>
      <c r="J91" s="7"/>
      <c r="K91" s="6" t="s">
        <v>40</v>
      </c>
      <c r="L91" s="6" t="s">
        <v>93</v>
      </c>
      <c r="M91" s="8" t="n">
        <f aca="false">IF(H91&lt;E91,(E91-H91)/H91,IF(H91&gt;F91,(F91-H91)/H91,0))</f>
        <v>0.879699248120301</v>
      </c>
      <c r="N91" s="9" t="s">
        <v>34</v>
      </c>
      <c r="O91" s="9" t="s">
        <v>34</v>
      </c>
    </row>
    <row r="92" customFormat="false" ht="15" hidden="false" customHeight="false" outlineLevel="0" collapsed="false">
      <c r="A92" s="6" t="s">
        <v>195</v>
      </c>
      <c r="B92" s="6" t="s">
        <v>193</v>
      </c>
      <c r="C92" s="6" t="s">
        <v>196</v>
      </c>
      <c r="D92" s="6" t="s">
        <v>197</v>
      </c>
      <c r="E92" s="7" t="n">
        <v>189</v>
      </c>
      <c r="F92" s="7" t="n">
        <v>189</v>
      </c>
      <c r="G92" s="6" t="s">
        <v>39</v>
      </c>
      <c r="H92" s="7" t="n">
        <v>89.95</v>
      </c>
      <c r="I92" s="7"/>
      <c r="J92" s="7"/>
      <c r="K92" s="6" t="s">
        <v>32</v>
      </c>
      <c r="L92" s="6" t="s">
        <v>33</v>
      </c>
      <c r="M92" s="8" t="n">
        <f aca="false">IF(H92&lt;E92,(E92-H92)/H92,IF(H92&gt;F92,(F92-H92)/H92,0))</f>
        <v>1.1011673151751</v>
      </c>
      <c r="N92" s="9" t="s">
        <v>34</v>
      </c>
      <c r="O92" s="9" t="s">
        <v>34</v>
      </c>
    </row>
    <row r="93" customFormat="false" ht="15" hidden="false" customHeight="false" outlineLevel="0" collapsed="false">
      <c r="A93" s="6" t="s">
        <v>198</v>
      </c>
      <c r="B93" s="6" t="s">
        <v>193</v>
      </c>
      <c r="C93" s="6" t="s">
        <v>199</v>
      </c>
      <c r="D93" s="6" t="s">
        <v>197</v>
      </c>
      <c r="E93" s="7" t="n">
        <v>165</v>
      </c>
      <c r="F93" s="7" t="n">
        <v>165</v>
      </c>
      <c r="G93" s="6" t="s">
        <v>39</v>
      </c>
      <c r="H93" s="7" t="n">
        <v>119.95</v>
      </c>
      <c r="I93" s="7"/>
      <c r="J93" s="7"/>
      <c r="K93" s="6" t="s">
        <v>32</v>
      </c>
      <c r="L93" s="6" t="s">
        <v>45</v>
      </c>
      <c r="M93" s="8" t="n">
        <f aca="false">IF(H93&lt;E93,(E93-H93)/H93,IF(H93&gt;F93,(F93-H93)/H93,0))</f>
        <v>0.375573155481451</v>
      </c>
      <c r="N93" s="9" t="s">
        <v>34</v>
      </c>
      <c r="O93" s="9" t="s">
        <v>34</v>
      </c>
    </row>
    <row r="94" customFormat="false" ht="15" hidden="false" customHeight="false" outlineLevel="0" collapsed="false">
      <c r="A94" s="6" t="s">
        <v>200</v>
      </c>
      <c r="B94" s="6" t="s">
        <v>201</v>
      </c>
      <c r="C94" s="6" t="s">
        <v>202</v>
      </c>
      <c r="D94" s="6" t="s">
        <v>30</v>
      </c>
      <c r="E94" s="7" t="n">
        <v>7.95</v>
      </c>
      <c r="F94" s="7" t="n">
        <v>7.95</v>
      </c>
      <c r="G94" s="6" t="s">
        <v>31</v>
      </c>
      <c r="H94" s="7" t="n">
        <v>7.99</v>
      </c>
      <c r="I94" s="7"/>
      <c r="J94" s="7"/>
      <c r="K94" s="6" t="s">
        <v>32</v>
      </c>
      <c r="L94" s="6" t="s">
        <v>93</v>
      </c>
      <c r="M94" s="8" t="n">
        <f aca="false">IF(H94&lt;E94,(E94-H94)/H94,IF(H94&gt;F94,(F94-H94)/H94,0))</f>
        <v>-0.00500625782227785</v>
      </c>
      <c r="N94" s="9" t="s">
        <v>34</v>
      </c>
      <c r="O94" s="9" t="s">
        <v>34</v>
      </c>
    </row>
    <row r="95" customFormat="false" ht="15" hidden="false" customHeight="false" outlineLevel="0" collapsed="false">
      <c r="A95" s="6" t="s">
        <v>203</v>
      </c>
      <c r="B95" s="6" t="s">
        <v>201</v>
      </c>
      <c r="C95" s="6" t="s">
        <v>204</v>
      </c>
      <c r="D95" s="6" t="s">
        <v>30</v>
      </c>
      <c r="E95" s="7" t="n">
        <v>7.95</v>
      </c>
      <c r="F95" s="7" t="n">
        <v>7.95</v>
      </c>
      <c r="G95" s="6" t="s">
        <v>31</v>
      </c>
      <c r="H95" s="7" t="n">
        <v>7.99</v>
      </c>
      <c r="I95" s="7"/>
      <c r="J95" s="7"/>
      <c r="K95" s="6" t="s">
        <v>32</v>
      </c>
      <c r="L95" s="6" t="s">
        <v>93</v>
      </c>
      <c r="M95" s="8" t="n">
        <f aca="false">IF(H95&lt;E95,(E95-H95)/H95,IF(H95&gt;F95,(F95-H95)/H95,0))</f>
        <v>-0.00500625782227785</v>
      </c>
      <c r="N95" s="9" t="s">
        <v>34</v>
      </c>
      <c r="O95" s="9" t="s">
        <v>34</v>
      </c>
    </row>
    <row r="96" customFormat="false" ht="15" hidden="false" customHeight="false" outlineLevel="0" collapsed="false">
      <c r="A96" s="6" t="s">
        <v>205</v>
      </c>
      <c r="B96" s="6" t="s">
        <v>206</v>
      </c>
      <c r="C96" s="6" t="s">
        <v>207</v>
      </c>
      <c r="D96" s="6" t="s">
        <v>52</v>
      </c>
      <c r="E96" s="7" t="n">
        <v>13.99</v>
      </c>
      <c r="F96" s="7" t="n">
        <v>13.99</v>
      </c>
      <c r="G96" s="6" t="s">
        <v>31</v>
      </c>
      <c r="H96" s="7" t="n">
        <v>9.99</v>
      </c>
      <c r="I96" s="7"/>
      <c r="J96" s="7"/>
      <c r="K96" s="6" t="s">
        <v>32</v>
      </c>
      <c r="L96" s="6" t="s">
        <v>93</v>
      </c>
      <c r="M96" s="8" t="n">
        <f aca="false">IF(H96&lt;E96,(E96-H96)/H96,IF(H96&gt;F96,(F96-H96)/H96,0))</f>
        <v>0.4004004004004</v>
      </c>
      <c r="N96" s="9" t="s">
        <v>34</v>
      </c>
      <c r="O96" s="9" t="s">
        <v>34</v>
      </c>
    </row>
    <row r="97" customFormat="false" ht="15" hidden="false" customHeight="false" outlineLevel="0" collapsed="false">
      <c r="A97" s="6" t="s">
        <v>208</v>
      </c>
      <c r="B97" s="6" t="s">
        <v>206</v>
      </c>
      <c r="C97" s="6" t="s">
        <v>209</v>
      </c>
      <c r="D97" s="6" t="s">
        <v>52</v>
      </c>
      <c r="E97" s="7" t="n">
        <v>9.99</v>
      </c>
      <c r="F97" s="7" t="n">
        <v>13.99</v>
      </c>
      <c r="G97" s="6" t="s">
        <v>31</v>
      </c>
      <c r="H97" s="7" t="n">
        <v>5.49</v>
      </c>
      <c r="I97" s="7"/>
      <c r="J97" s="7"/>
      <c r="K97" s="6" t="s">
        <v>32</v>
      </c>
      <c r="L97" s="6" t="s">
        <v>93</v>
      </c>
      <c r="M97" s="8" t="n">
        <f aca="false">IF(H97&lt;E97,(E97-H97)/H97,IF(H97&gt;F97,(F97-H97)/H97,0))</f>
        <v>0.819672131147541</v>
      </c>
      <c r="N97" s="9" t="s">
        <v>34</v>
      </c>
      <c r="O97" s="9" t="s">
        <v>34</v>
      </c>
    </row>
    <row r="98" customFormat="false" ht="15" hidden="false" customHeight="false" outlineLevel="0" collapsed="false">
      <c r="A98" s="6" t="s">
        <v>208</v>
      </c>
      <c r="B98" s="6" t="s">
        <v>206</v>
      </c>
      <c r="C98" s="6" t="s">
        <v>209</v>
      </c>
      <c r="D98" s="6" t="s">
        <v>52</v>
      </c>
      <c r="E98" s="7" t="n">
        <v>9.99</v>
      </c>
      <c r="F98" s="7" t="n">
        <v>13.99</v>
      </c>
      <c r="G98" s="6" t="s">
        <v>39</v>
      </c>
      <c r="H98" s="7" t="n">
        <v>4.58</v>
      </c>
      <c r="I98" s="7"/>
      <c r="J98" s="7"/>
      <c r="K98" s="6" t="s">
        <v>40</v>
      </c>
      <c r="L98" s="6" t="s">
        <v>93</v>
      </c>
      <c r="M98" s="8" t="n">
        <f aca="false">IF(H98&lt;E98,(E98-H98)/H98,IF(H98&gt;F98,(F98-H98)/H98,0))</f>
        <v>1.18122270742358</v>
      </c>
      <c r="N98" s="9" t="s">
        <v>34</v>
      </c>
      <c r="O98" s="9" t="s">
        <v>34</v>
      </c>
    </row>
    <row r="99" customFormat="false" ht="15" hidden="false" customHeight="false" outlineLevel="0" collapsed="false">
      <c r="A99" s="6" t="s">
        <v>210</v>
      </c>
      <c r="B99" s="6" t="s">
        <v>206</v>
      </c>
      <c r="C99" s="6" t="s">
        <v>211</v>
      </c>
      <c r="D99" s="6" t="s">
        <v>52</v>
      </c>
      <c r="E99" s="7" t="n">
        <v>8.95</v>
      </c>
      <c r="F99" s="7" t="n">
        <v>8.95</v>
      </c>
      <c r="G99" s="6" t="s">
        <v>31</v>
      </c>
      <c r="H99" s="7" t="n">
        <v>9.49</v>
      </c>
      <c r="I99" s="7"/>
      <c r="J99" s="7"/>
      <c r="K99" s="6" t="s">
        <v>32</v>
      </c>
      <c r="L99" s="6" t="s">
        <v>93</v>
      </c>
      <c r="M99" s="8" t="n">
        <f aca="false">IF(H99&lt;E99,(E99-H99)/H99,IF(H99&gt;F99,(F99-H99)/H99,0))</f>
        <v>-0.0569020021074817</v>
      </c>
      <c r="N99" s="9" t="s">
        <v>34</v>
      </c>
      <c r="O99" s="9" t="s">
        <v>34</v>
      </c>
    </row>
    <row r="100" customFormat="false" ht="15" hidden="false" customHeight="false" outlineLevel="0" collapsed="false">
      <c r="A100" s="6" t="s">
        <v>210</v>
      </c>
      <c r="B100" s="6" t="s">
        <v>206</v>
      </c>
      <c r="C100" s="6" t="s">
        <v>211</v>
      </c>
      <c r="D100" s="6" t="s">
        <v>52</v>
      </c>
      <c r="E100" s="7" t="n">
        <v>8.95</v>
      </c>
      <c r="F100" s="7" t="n">
        <v>8.95</v>
      </c>
      <c r="G100" s="6" t="s">
        <v>39</v>
      </c>
      <c r="H100" s="7" t="n">
        <v>9.45</v>
      </c>
      <c r="I100" s="7"/>
      <c r="J100" s="7"/>
      <c r="K100" s="6" t="s">
        <v>32</v>
      </c>
      <c r="L100" s="6" t="s">
        <v>93</v>
      </c>
      <c r="M100" s="8" t="n">
        <f aca="false">IF(H100&lt;E100,(E100-H100)/H100,IF(H100&gt;F100,(F100-H100)/H100,0))</f>
        <v>-0.0529100529100529</v>
      </c>
      <c r="N100" s="9" t="s">
        <v>34</v>
      </c>
      <c r="O100" s="9" t="s">
        <v>34</v>
      </c>
    </row>
    <row r="101" customFormat="false" ht="15" hidden="false" customHeight="false" outlineLevel="0" collapsed="false">
      <c r="A101" s="6" t="s">
        <v>212</v>
      </c>
      <c r="B101" s="6" t="s">
        <v>213</v>
      </c>
      <c r="C101" s="6" t="s">
        <v>214</v>
      </c>
      <c r="D101" s="6" t="s">
        <v>38</v>
      </c>
      <c r="E101" s="7" t="n">
        <v>23.99</v>
      </c>
      <c r="F101" s="7" t="n">
        <v>23.99</v>
      </c>
      <c r="G101" s="6" t="s">
        <v>31</v>
      </c>
      <c r="H101" s="7" t="n">
        <v>25.99</v>
      </c>
      <c r="I101" s="7"/>
      <c r="J101" s="7"/>
      <c r="K101" s="6" t="s">
        <v>32</v>
      </c>
      <c r="L101" s="6" t="s">
        <v>33</v>
      </c>
      <c r="M101" s="8" t="n">
        <f aca="false">IF(H101&lt;E101,(E101-H101)/H101,IF(H101&gt;F101,(F101-H101)/H101,0))</f>
        <v>-0.0769526741054252</v>
      </c>
      <c r="N101" s="9" t="s">
        <v>34</v>
      </c>
      <c r="O101" s="9" t="s">
        <v>34</v>
      </c>
    </row>
    <row r="102" customFormat="false" ht="15" hidden="false" customHeight="false" outlineLevel="0" collapsed="false">
      <c r="A102" s="6" t="s">
        <v>215</v>
      </c>
      <c r="B102" s="6" t="s">
        <v>213</v>
      </c>
      <c r="C102" s="6" t="s">
        <v>216</v>
      </c>
      <c r="D102" s="6" t="s">
        <v>38</v>
      </c>
      <c r="E102" s="7" t="n">
        <v>10.5</v>
      </c>
      <c r="F102" s="7" t="n">
        <v>10.5</v>
      </c>
      <c r="G102" s="6" t="s">
        <v>31</v>
      </c>
      <c r="H102" s="7" t="n">
        <v>10.29</v>
      </c>
      <c r="I102" s="7"/>
      <c r="J102" s="7"/>
      <c r="K102" s="6" t="s">
        <v>32</v>
      </c>
      <c r="L102" s="6" t="s">
        <v>33</v>
      </c>
      <c r="M102" s="8" t="n">
        <f aca="false">IF(H102&lt;E102,(E102-H102)/H102,IF(H102&gt;F102,(F102-H102)/H102,0))</f>
        <v>0.0204081632653062</v>
      </c>
      <c r="N102" s="9" t="s">
        <v>34</v>
      </c>
      <c r="O102" s="9" t="s">
        <v>34</v>
      </c>
    </row>
    <row r="103" customFormat="false" ht="15" hidden="false" customHeight="false" outlineLevel="0" collapsed="false">
      <c r="A103" s="6" t="s">
        <v>217</v>
      </c>
      <c r="B103" s="6" t="s">
        <v>213</v>
      </c>
      <c r="C103" s="6" t="s">
        <v>218</v>
      </c>
      <c r="D103" s="6" t="s">
        <v>38</v>
      </c>
      <c r="E103" s="7" t="n">
        <v>10.5</v>
      </c>
      <c r="F103" s="7" t="n">
        <v>10.5</v>
      </c>
      <c r="G103" s="6" t="s">
        <v>31</v>
      </c>
      <c r="H103" s="7" t="n">
        <v>10.29</v>
      </c>
      <c r="I103" s="7"/>
      <c r="J103" s="7"/>
      <c r="K103" s="6" t="s">
        <v>32</v>
      </c>
      <c r="L103" s="6" t="s">
        <v>93</v>
      </c>
      <c r="M103" s="8" t="n">
        <f aca="false">IF(H103&lt;E103,(E103-H103)/H103,IF(H103&gt;F103,(F103-H103)/H103,0))</f>
        <v>0.0204081632653062</v>
      </c>
      <c r="N103" s="9" t="s">
        <v>34</v>
      </c>
      <c r="O103" s="9" t="s">
        <v>34</v>
      </c>
    </row>
    <row r="104" customFormat="false" ht="15" hidden="false" customHeight="false" outlineLevel="0" collapsed="false">
      <c r="A104" s="6" t="s">
        <v>219</v>
      </c>
      <c r="B104" s="6" t="s">
        <v>213</v>
      </c>
      <c r="C104" s="6" t="s">
        <v>220</v>
      </c>
      <c r="D104" s="6" t="s">
        <v>38</v>
      </c>
      <c r="E104" s="7" t="n">
        <v>10.29</v>
      </c>
      <c r="F104" s="7" t="n">
        <v>10.29</v>
      </c>
      <c r="G104" s="6" t="s">
        <v>31</v>
      </c>
      <c r="H104" s="7" t="n">
        <v>10.29</v>
      </c>
      <c r="I104" s="7"/>
      <c r="J104" s="7"/>
      <c r="K104" s="6" t="s">
        <v>32</v>
      </c>
      <c r="L104" s="6" t="s">
        <v>93</v>
      </c>
      <c r="M104" s="8" t="n">
        <f aca="false">IF(H104&lt;E104,(E104-H104)/H104,IF(H104&gt;F104,(F104-H104)/H104,0))</f>
        <v>0</v>
      </c>
      <c r="N104" s="9" t="s">
        <v>34</v>
      </c>
      <c r="O104" s="9" t="s">
        <v>34</v>
      </c>
    </row>
    <row r="105" customFormat="false" ht="15" hidden="false" customHeight="false" outlineLevel="0" collapsed="false">
      <c r="A105" s="6" t="s">
        <v>221</v>
      </c>
      <c r="B105" s="6" t="s">
        <v>213</v>
      </c>
      <c r="C105" s="6" t="s">
        <v>222</v>
      </c>
      <c r="D105" s="6" t="s">
        <v>38</v>
      </c>
      <c r="E105" s="7" t="n">
        <v>10.29</v>
      </c>
      <c r="F105" s="7" t="n">
        <v>10.29</v>
      </c>
      <c r="G105" s="6" t="s">
        <v>31</v>
      </c>
      <c r="H105" s="7" t="n">
        <v>10.29</v>
      </c>
      <c r="I105" s="7"/>
      <c r="J105" s="7"/>
      <c r="K105" s="6" t="s">
        <v>32</v>
      </c>
      <c r="L105" s="6" t="s">
        <v>93</v>
      </c>
      <c r="M105" s="8" t="n">
        <f aca="false">IF(H105&lt;E105,(E105-H105)/H105,IF(H105&gt;F105,(F105-H105)/H105,0))</f>
        <v>0</v>
      </c>
      <c r="N105" s="9" t="s">
        <v>34</v>
      </c>
      <c r="O105" s="9" t="s">
        <v>34</v>
      </c>
    </row>
    <row r="106" customFormat="false" ht="15" hidden="false" customHeight="false" outlineLevel="0" collapsed="false">
      <c r="A106" s="6" t="s">
        <v>223</v>
      </c>
      <c r="B106" s="6" t="s">
        <v>224</v>
      </c>
      <c r="C106" s="6" t="s">
        <v>225</v>
      </c>
      <c r="D106" s="6" t="s">
        <v>30</v>
      </c>
      <c r="E106" s="7" t="n">
        <v>10.95</v>
      </c>
      <c r="F106" s="7" t="n">
        <v>10.95</v>
      </c>
      <c r="G106" s="6" t="s">
        <v>31</v>
      </c>
      <c r="H106" s="7" t="n">
        <v>10.95</v>
      </c>
      <c r="I106" s="7"/>
      <c r="J106" s="7"/>
      <c r="K106" s="6" t="s">
        <v>32</v>
      </c>
      <c r="L106" s="6" t="s">
        <v>93</v>
      </c>
      <c r="M106" s="8" t="n">
        <f aca="false">IF(H106&lt;E106,(E106-H106)/H106,IF(H106&gt;F106,(F106-H106)/H106,0))</f>
        <v>0</v>
      </c>
      <c r="N106" s="9" t="s">
        <v>34</v>
      </c>
      <c r="O106" s="9" t="s">
        <v>34</v>
      </c>
    </row>
    <row r="107" customFormat="false" ht="15" hidden="false" customHeight="false" outlineLevel="0" collapsed="false">
      <c r="A107" s="6" t="s">
        <v>223</v>
      </c>
      <c r="B107" s="6" t="s">
        <v>224</v>
      </c>
      <c r="C107" s="6" t="s">
        <v>225</v>
      </c>
      <c r="D107" s="6" t="s">
        <v>30</v>
      </c>
      <c r="E107" s="7" t="n">
        <v>10.95</v>
      </c>
      <c r="F107" s="7" t="n">
        <v>10.95</v>
      </c>
      <c r="G107" s="6" t="s">
        <v>226</v>
      </c>
      <c r="H107" s="7" t="n">
        <v>10.56</v>
      </c>
      <c r="I107" s="7"/>
      <c r="J107" s="7"/>
      <c r="K107" s="6" t="s">
        <v>40</v>
      </c>
      <c r="L107" s="6" t="s">
        <v>45</v>
      </c>
      <c r="M107" s="8" t="n">
        <f aca="false">IF(H107&lt;E107,(E107-H107)/H107,IF(H107&gt;F107,(F107-H107)/H107,0))</f>
        <v>0.0369318181818181</v>
      </c>
      <c r="N107" s="9" t="s">
        <v>34</v>
      </c>
      <c r="O107" s="9" t="s">
        <v>34</v>
      </c>
    </row>
    <row r="108" customFormat="false" ht="15" hidden="false" customHeight="false" outlineLevel="0" collapsed="false">
      <c r="A108" s="6" t="s">
        <v>227</v>
      </c>
      <c r="B108" s="6" t="s">
        <v>224</v>
      </c>
      <c r="C108" s="6" t="s">
        <v>228</v>
      </c>
      <c r="D108" s="6" t="s">
        <v>30</v>
      </c>
      <c r="E108" s="7" t="n">
        <v>13.5</v>
      </c>
      <c r="F108" s="7" t="n">
        <v>13.5</v>
      </c>
      <c r="G108" s="6" t="s">
        <v>31</v>
      </c>
      <c r="H108" s="7" t="n">
        <v>7.49</v>
      </c>
      <c r="I108" s="7"/>
      <c r="J108" s="7"/>
      <c r="K108" s="6" t="s">
        <v>32</v>
      </c>
      <c r="L108" s="6" t="s">
        <v>93</v>
      </c>
      <c r="M108" s="8" t="n">
        <f aca="false">IF(H108&lt;E108,(E108-H108)/H108,IF(H108&gt;F108,(F108-H108)/H108,0))</f>
        <v>0.802403204272363</v>
      </c>
      <c r="N108" s="9" t="s">
        <v>34</v>
      </c>
      <c r="O108" s="9" t="s">
        <v>34</v>
      </c>
    </row>
    <row r="109" customFormat="false" ht="15" hidden="false" customHeight="false" outlineLevel="0" collapsed="false">
      <c r="A109" s="6" t="s">
        <v>227</v>
      </c>
      <c r="B109" s="6" t="s">
        <v>224</v>
      </c>
      <c r="C109" s="6" t="s">
        <v>228</v>
      </c>
      <c r="D109" s="6" t="s">
        <v>30</v>
      </c>
      <c r="E109" s="7" t="n">
        <v>13.5</v>
      </c>
      <c r="F109" s="7" t="n">
        <v>13.5</v>
      </c>
      <c r="G109" s="6" t="s">
        <v>226</v>
      </c>
      <c r="H109" s="7" t="n">
        <v>14.82</v>
      </c>
      <c r="I109" s="7"/>
      <c r="J109" s="7"/>
      <c r="K109" s="6" t="s">
        <v>40</v>
      </c>
      <c r="L109" s="6" t="s">
        <v>45</v>
      </c>
      <c r="M109" s="8" t="n">
        <f aca="false">IF(H109&lt;E109,(E109-H109)/H109,IF(H109&gt;F109,(F109-H109)/H109,0))</f>
        <v>-0.0890688259109312</v>
      </c>
      <c r="N109" s="9" t="s">
        <v>34</v>
      </c>
      <c r="O109" s="9" t="s">
        <v>34</v>
      </c>
    </row>
    <row r="110" customFormat="false" ht="15" hidden="false" customHeight="false" outlineLevel="0" collapsed="false">
      <c r="A110" s="6" t="s">
        <v>229</v>
      </c>
      <c r="B110" s="6" t="s">
        <v>224</v>
      </c>
      <c r="C110" s="6" t="s">
        <v>230</v>
      </c>
      <c r="D110" s="6" t="s">
        <v>30</v>
      </c>
      <c r="E110" s="7" t="n">
        <v>13</v>
      </c>
      <c r="F110" s="7" t="n">
        <v>13</v>
      </c>
      <c r="G110" s="6" t="s">
        <v>31</v>
      </c>
      <c r="H110" s="7" t="n">
        <v>7.49</v>
      </c>
      <c r="I110" s="7"/>
      <c r="J110" s="7"/>
      <c r="K110" s="6" t="s">
        <v>32</v>
      </c>
      <c r="L110" s="6" t="s">
        <v>93</v>
      </c>
      <c r="M110" s="8" t="n">
        <f aca="false">IF(H110&lt;E110,(E110-H110)/H110,IF(H110&gt;F110,(F110-H110)/H110,0))</f>
        <v>0.735647530040053</v>
      </c>
      <c r="N110" s="9" t="s">
        <v>34</v>
      </c>
      <c r="O110" s="9" t="s">
        <v>34</v>
      </c>
    </row>
    <row r="111" customFormat="false" ht="15" hidden="false" customHeight="false" outlineLevel="0" collapsed="false">
      <c r="A111" s="6" t="s">
        <v>231</v>
      </c>
      <c r="B111" s="6" t="s">
        <v>232</v>
      </c>
      <c r="C111" s="6" t="s">
        <v>233</v>
      </c>
      <c r="D111" s="6" t="s">
        <v>30</v>
      </c>
      <c r="E111" s="7" t="n">
        <v>6.95</v>
      </c>
      <c r="F111" s="7" t="n">
        <v>6.95</v>
      </c>
      <c r="G111" s="6" t="s">
        <v>39</v>
      </c>
      <c r="H111" s="7" t="n">
        <v>3.95</v>
      </c>
      <c r="I111" s="7"/>
      <c r="J111" s="7"/>
      <c r="K111" s="6" t="s">
        <v>40</v>
      </c>
      <c r="L111" s="6" t="s">
        <v>93</v>
      </c>
      <c r="M111" s="8" t="n">
        <f aca="false">IF(H111&lt;E111,(E111-H111)/H111,IF(H111&gt;F111,(F111-H111)/H111,0))</f>
        <v>0.759493670886076</v>
      </c>
      <c r="N111" s="9" t="s">
        <v>34</v>
      </c>
      <c r="O111" s="9" t="s">
        <v>34</v>
      </c>
    </row>
    <row r="112" customFormat="false" ht="15" hidden="false" customHeight="false" outlineLevel="0" collapsed="false">
      <c r="A112" s="6" t="s">
        <v>234</v>
      </c>
      <c r="B112" s="6" t="s">
        <v>232</v>
      </c>
      <c r="C112" s="6" t="s">
        <v>235</v>
      </c>
      <c r="D112" s="6" t="s">
        <v>52</v>
      </c>
      <c r="E112" s="7" t="n">
        <v>11.95</v>
      </c>
      <c r="F112" s="7" t="n">
        <v>11.95</v>
      </c>
      <c r="G112" s="6" t="s">
        <v>39</v>
      </c>
      <c r="H112" s="7" t="n">
        <v>3.95</v>
      </c>
      <c r="I112" s="7"/>
      <c r="J112" s="7"/>
      <c r="K112" s="6" t="s">
        <v>40</v>
      </c>
      <c r="L112" s="6" t="s">
        <v>93</v>
      </c>
      <c r="M112" s="8" t="n">
        <f aca="false">IF(H112&lt;E112,(E112-H112)/H112,IF(H112&gt;F112,(F112-H112)/H112,0))</f>
        <v>2.0253164556962</v>
      </c>
      <c r="N112" s="9" t="s">
        <v>34</v>
      </c>
      <c r="O112" s="9" t="s">
        <v>34</v>
      </c>
    </row>
    <row r="113" customFormat="false" ht="15" hidden="false" customHeight="false" outlineLevel="0" collapsed="false">
      <c r="A113" s="6" t="s">
        <v>236</v>
      </c>
      <c r="B113" s="6" t="s">
        <v>232</v>
      </c>
      <c r="C113" s="6" t="s">
        <v>237</v>
      </c>
      <c r="D113" s="6" t="s">
        <v>52</v>
      </c>
      <c r="E113" s="7" t="n">
        <v>21.95</v>
      </c>
      <c r="F113" s="7" t="n">
        <v>21.95</v>
      </c>
      <c r="G113" s="6" t="s">
        <v>39</v>
      </c>
      <c r="H113" s="7" t="n">
        <v>13.95</v>
      </c>
      <c r="I113" s="7"/>
      <c r="J113" s="7"/>
      <c r="K113" s="6" t="s">
        <v>40</v>
      </c>
      <c r="L113" s="6" t="s">
        <v>93</v>
      </c>
      <c r="M113" s="8" t="n">
        <f aca="false">IF(H113&lt;E113,(E113-H113)/H113,IF(H113&gt;F113,(F113-H113)/H113,0))</f>
        <v>0.573476702508961</v>
      </c>
      <c r="N113" s="9" t="s">
        <v>34</v>
      </c>
      <c r="O113" s="9" t="s">
        <v>34</v>
      </c>
    </row>
    <row r="114" customFormat="false" ht="15" hidden="false" customHeight="false" outlineLevel="0" collapsed="false">
      <c r="A114" s="6" t="s">
        <v>238</v>
      </c>
      <c r="B114" s="6" t="s">
        <v>232</v>
      </c>
      <c r="C114" s="6" t="s">
        <v>239</v>
      </c>
      <c r="D114" s="6" t="s">
        <v>30</v>
      </c>
      <c r="E114" s="7" t="n">
        <v>6.95</v>
      </c>
      <c r="F114" s="7" t="n">
        <v>6.95</v>
      </c>
      <c r="G114" s="6" t="s">
        <v>39</v>
      </c>
      <c r="H114" s="7" t="n">
        <v>3.95</v>
      </c>
      <c r="I114" s="7"/>
      <c r="J114" s="7"/>
      <c r="K114" s="6" t="s">
        <v>40</v>
      </c>
      <c r="L114" s="6" t="s">
        <v>93</v>
      </c>
      <c r="M114" s="8" t="n">
        <f aca="false">IF(H114&lt;E114,(E114-H114)/H114,IF(H114&gt;F114,(F114-H114)/H114,0))</f>
        <v>0.759493670886076</v>
      </c>
      <c r="N114" s="9" t="s">
        <v>34</v>
      </c>
      <c r="O114" s="9" t="s">
        <v>34</v>
      </c>
    </row>
    <row r="115" customFormat="false" ht="15" hidden="false" customHeight="false" outlineLevel="0" collapsed="false">
      <c r="A115" s="6" t="s">
        <v>240</v>
      </c>
      <c r="B115" s="6" t="s">
        <v>232</v>
      </c>
      <c r="C115" s="6" t="s">
        <v>241</v>
      </c>
      <c r="D115" s="6" t="s">
        <v>52</v>
      </c>
      <c r="E115" s="7" t="n">
        <v>7.95</v>
      </c>
      <c r="F115" s="7" t="n">
        <v>7.95</v>
      </c>
      <c r="G115" s="6" t="s">
        <v>39</v>
      </c>
      <c r="H115" s="7" t="n">
        <v>3.95</v>
      </c>
      <c r="I115" s="7"/>
      <c r="J115" s="7"/>
      <c r="K115" s="6" t="s">
        <v>40</v>
      </c>
      <c r="L115" s="6" t="s">
        <v>93</v>
      </c>
      <c r="M115" s="8" t="n">
        <f aca="false">IF(H115&lt;E115,(E115-H115)/H115,IF(H115&gt;F115,(F115-H115)/H115,0))</f>
        <v>1.0126582278481</v>
      </c>
      <c r="N115" s="9" t="s">
        <v>34</v>
      </c>
      <c r="O115" s="9" t="s">
        <v>34</v>
      </c>
    </row>
    <row r="116" customFormat="false" ht="15" hidden="false" customHeight="false" outlineLevel="0" collapsed="false">
      <c r="A116" s="6" t="s">
        <v>242</v>
      </c>
      <c r="B116" s="6" t="s">
        <v>232</v>
      </c>
      <c r="C116" s="6" t="s">
        <v>243</v>
      </c>
      <c r="D116" s="6" t="s">
        <v>52</v>
      </c>
      <c r="E116" s="7" t="n">
        <v>14.95</v>
      </c>
      <c r="F116" s="7" t="n">
        <v>14.95</v>
      </c>
      <c r="G116" s="6" t="s">
        <v>39</v>
      </c>
      <c r="H116" s="7" t="n">
        <v>3.95</v>
      </c>
      <c r="I116" s="7"/>
      <c r="J116" s="7"/>
      <c r="K116" s="6" t="s">
        <v>40</v>
      </c>
      <c r="L116" s="6" t="s">
        <v>93</v>
      </c>
      <c r="M116" s="8" t="n">
        <f aca="false">IF(H116&lt;E116,(E116-H116)/H116,IF(H116&gt;F116,(F116-H116)/H116,0))</f>
        <v>2.78481012658228</v>
      </c>
      <c r="N116" s="9" t="s">
        <v>34</v>
      </c>
      <c r="O116" s="9" t="s">
        <v>34</v>
      </c>
    </row>
    <row r="117" customFormat="false" ht="15" hidden="false" customHeight="false" outlineLevel="0" collapsed="false">
      <c r="A117" s="6" t="s">
        <v>244</v>
      </c>
      <c r="B117" s="6" t="s">
        <v>232</v>
      </c>
      <c r="C117" s="6" t="s">
        <v>245</v>
      </c>
      <c r="D117" s="6" t="s">
        <v>30</v>
      </c>
      <c r="E117" s="7" t="n">
        <v>6.95</v>
      </c>
      <c r="F117" s="7" t="n">
        <v>6.95</v>
      </c>
      <c r="G117" s="6" t="s">
        <v>39</v>
      </c>
      <c r="H117" s="7" t="n">
        <v>3.95</v>
      </c>
      <c r="I117" s="7"/>
      <c r="J117" s="7"/>
      <c r="K117" s="6" t="s">
        <v>40</v>
      </c>
      <c r="L117" s="6" t="s">
        <v>93</v>
      </c>
      <c r="M117" s="8" t="n">
        <f aca="false">IF(H117&lt;E117,(E117-H117)/H117,IF(H117&gt;F117,(F117-H117)/H117,0))</f>
        <v>0.759493670886076</v>
      </c>
      <c r="N117" s="9" t="s">
        <v>34</v>
      </c>
      <c r="O117" s="9" t="s">
        <v>34</v>
      </c>
    </row>
    <row r="118" customFormat="false" ht="15" hidden="false" customHeight="false" outlineLevel="0" collapsed="false">
      <c r="A118" s="6" t="s">
        <v>246</v>
      </c>
      <c r="B118" s="6" t="s">
        <v>232</v>
      </c>
      <c r="C118" s="6" t="s">
        <v>247</v>
      </c>
      <c r="D118" s="6" t="s">
        <v>52</v>
      </c>
      <c r="E118" s="7" t="n">
        <v>11.95</v>
      </c>
      <c r="F118" s="7" t="n">
        <v>11.95</v>
      </c>
      <c r="G118" s="6" t="s">
        <v>39</v>
      </c>
      <c r="H118" s="7" t="n">
        <v>9.95</v>
      </c>
      <c r="I118" s="7"/>
      <c r="J118" s="7"/>
      <c r="K118" s="6" t="s">
        <v>32</v>
      </c>
      <c r="L118" s="6" t="s">
        <v>93</v>
      </c>
      <c r="M118" s="8" t="n">
        <f aca="false">IF(H118&lt;E118,(E118-H118)/H118,IF(H118&gt;F118,(F118-H118)/H118,0))</f>
        <v>0.201005025125628</v>
      </c>
      <c r="N118" s="9" t="s">
        <v>34</v>
      </c>
      <c r="O118" s="9" t="s">
        <v>34</v>
      </c>
    </row>
    <row r="119" customFormat="false" ht="15" hidden="false" customHeight="false" outlineLevel="0" collapsed="false">
      <c r="A119" s="6" t="s">
        <v>248</v>
      </c>
      <c r="B119" s="6" t="s">
        <v>232</v>
      </c>
      <c r="C119" s="6" t="s">
        <v>249</v>
      </c>
      <c r="D119" s="6" t="s">
        <v>52</v>
      </c>
      <c r="E119" s="7" t="n">
        <v>11.95</v>
      </c>
      <c r="F119" s="7" t="n">
        <v>11.95</v>
      </c>
      <c r="G119" s="6" t="s">
        <v>39</v>
      </c>
      <c r="H119" s="7" t="n">
        <v>9.95</v>
      </c>
      <c r="I119" s="7"/>
      <c r="J119" s="7"/>
      <c r="K119" s="6" t="s">
        <v>32</v>
      </c>
      <c r="L119" s="6" t="s">
        <v>93</v>
      </c>
      <c r="M119" s="8" t="n">
        <f aca="false">IF(H119&lt;E119,(E119-H119)/H119,IF(H119&gt;F119,(F119-H119)/H119,0))</f>
        <v>0.201005025125628</v>
      </c>
      <c r="N119" s="9" t="s">
        <v>34</v>
      </c>
      <c r="O119" s="9" t="s">
        <v>34</v>
      </c>
    </row>
    <row r="120" customFormat="false" ht="15" hidden="false" customHeight="false" outlineLevel="0" collapsed="false">
      <c r="A120" s="6" t="s">
        <v>250</v>
      </c>
      <c r="B120" s="6" t="s">
        <v>232</v>
      </c>
      <c r="C120" s="6" t="s">
        <v>251</v>
      </c>
      <c r="D120" s="6" t="s">
        <v>52</v>
      </c>
      <c r="E120" s="7" t="n">
        <v>11.95</v>
      </c>
      <c r="F120" s="7" t="n">
        <v>11.95</v>
      </c>
      <c r="G120" s="6" t="s">
        <v>39</v>
      </c>
      <c r="H120" s="7" t="n">
        <v>9.95</v>
      </c>
      <c r="I120" s="7"/>
      <c r="J120" s="7"/>
      <c r="K120" s="6" t="s">
        <v>32</v>
      </c>
      <c r="L120" s="6" t="s">
        <v>93</v>
      </c>
      <c r="M120" s="8" t="n">
        <f aca="false">IF(H120&lt;E120,(E120-H120)/H120,IF(H120&gt;F120,(F120-H120)/H120,0))</f>
        <v>0.201005025125628</v>
      </c>
      <c r="N120" s="9" t="s">
        <v>34</v>
      </c>
      <c r="O120" s="9" t="s">
        <v>34</v>
      </c>
    </row>
    <row r="121" customFormat="false" ht="15" hidden="false" customHeight="false" outlineLevel="0" collapsed="false">
      <c r="A121" s="6" t="s">
        <v>252</v>
      </c>
      <c r="B121" s="6" t="s">
        <v>253</v>
      </c>
      <c r="C121" s="6" t="s">
        <v>254</v>
      </c>
      <c r="D121" s="6" t="s">
        <v>69</v>
      </c>
      <c r="E121" s="7" t="n">
        <v>60</v>
      </c>
      <c r="F121" s="7" t="n">
        <v>69</v>
      </c>
      <c r="G121" s="6" t="s">
        <v>39</v>
      </c>
      <c r="H121" s="7" t="n">
        <v>62.95</v>
      </c>
      <c r="I121" s="7"/>
      <c r="J121" s="7"/>
      <c r="K121" s="6" t="s">
        <v>32</v>
      </c>
      <c r="L121" s="6" t="s">
        <v>33</v>
      </c>
      <c r="M121" s="8" t="n">
        <f aca="false">IF(H121&lt;E121,(E121-H121)/H121,IF(H121&gt;F121,(F121-H121)/H121,0))</f>
        <v>0</v>
      </c>
      <c r="N121" s="9" t="s">
        <v>34</v>
      </c>
      <c r="O121" s="9" t="s">
        <v>34</v>
      </c>
    </row>
    <row r="122" customFormat="false" ht="15" hidden="false" customHeight="false" outlineLevel="0" collapsed="false">
      <c r="A122" s="6" t="s">
        <v>255</v>
      </c>
      <c r="B122" s="6" t="s">
        <v>253</v>
      </c>
      <c r="C122" s="6" t="s">
        <v>256</v>
      </c>
      <c r="D122" s="6" t="s">
        <v>52</v>
      </c>
      <c r="E122" s="7" t="n">
        <v>12</v>
      </c>
      <c r="F122" s="7" t="n">
        <v>12</v>
      </c>
      <c r="G122" s="6" t="s">
        <v>31</v>
      </c>
      <c r="H122" s="7" t="n">
        <v>11.59</v>
      </c>
      <c r="I122" s="7"/>
      <c r="J122" s="7"/>
      <c r="K122" s="6" t="s">
        <v>40</v>
      </c>
      <c r="L122" s="6" t="s">
        <v>93</v>
      </c>
      <c r="M122" s="8" t="n">
        <f aca="false">IF(H122&lt;E122,(E122-H122)/H122,IF(H122&gt;F122,(F122-H122)/H122,0))</f>
        <v>0.0353753235547886</v>
      </c>
      <c r="N122" s="9" t="s">
        <v>34</v>
      </c>
      <c r="O122" s="9" t="s">
        <v>34</v>
      </c>
    </row>
    <row r="123" customFormat="false" ht="15" hidden="false" customHeight="false" outlineLevel="0" collapsed="false">
      <c r="A123" s="6" t="s">
        <v>257</v>
      </c>
      <c r="B123" s="6" t="s">
        <v>258</v>
      </c>
      <c r="C123" s="6" t="s">
        <v>259</v>
      </c>
      <c r="D123" s="6" t="s">
        <v>30</v>
      </c>
      <c r="E123" s="7" t="n">
        <v>2.7</v>
      </c>
      <c r="F123" s="7" t="n">
        <v>4.9</v>
      </c>
      <c r="G123" s="6" t="s">
        <v>31</v>
      </c>
      <c r="H123" s="7" t="n">
        <v>2.79</v>
      </c>
      <c r="I123" s="7"/>
      <c r="J123" s="7"/>
      <c r="K123" s="6" t="s">
        <v>32</v>
      </c>
      <c r="L123" s="6" t="s">
        <v>33</v>
      </c>
      <c r="M123" s="8" t="n">
        <f aca="false">IF(H123&lt;E123,(E123-H123)/H123,IF(H123&gt;F123,(F123-H123)/H123,0))</f>
        <v>0</v>
      </c>
      <c r="N123" s="9" t="s">
        <v>34</v>
      </c>
      <c r="O123" s="9" t="s">
        <v>34</v>
      </c>
    </row>
    <row r="124" customFormat="false" ht="15" hidden="false" customHeight="false" outlineLevel="0" collapsed="false">
      <c r="A124" s="6" t="s">
        <v>260</v>
      </c>
      <c r="B124" s="6" t="s">
        <v>258</v>
      </c>
      <c r="C124" s="6" t="s">
        <v>261</v>
      </c>
      <c r="D124" s="6" t="s">
        <v>30</v>
      </c>
      <c r="E124" s="7" t="n">
        <v>3.4</v>
      </c>
      <c r="F124" s="7" t="n">
        <v>5.4</v>
      </c>
      <c r="G124" s="6" t="s">
        <v>31</v>
      </c>
      <c r="H124" s="7" t="n">
        <v>3.99</v>
      </c>
      <c r="I124" s="7"/>
      <c r="J124" s="7"/>
      <c r="K124" s="6" t="s">
        <v>32</v>
      </c>
      <c r="L124" s="6" t="s">
        <v>33</v>
      </c>
      <c r="M124" s="8" t="n">
        <f aca="false">IF(H124&lt;E124,(E124-H124)/H124,IF(H124&gt;F124,(F124-H124)/H124,0))</f>
        <v>0</v>
      </c>
      <c r="N124" s="9" t="s">
        <v>34</v>
      </c>
      <c r="O124" s="9" t="s">
        <v>34</v>
      </c>
    </row>
    <row r="125" customFormat="false" ht="15" hidden="false" customHeight="false" outlineLevel="0" collapsed="false">
      <c r="A125" s="6" t="s">
        <v>262</v>
      </c>
      <c r="B125" s="6" t="s">
        <v>258</v>
      </c>
      <c r="C125" s="6" t="s">
        <v>263</v>
      </c>
      <c r="D125" s="6" t="s">
        <v>30</v>
      </c>
      <c r="E125" s="7" t="n">
        <v>3.5</v>
      </c>
      <c r="F125" s="7" t="n">
        <v>3.9</v>
      </c>
      <c r="G125" s="6" t="s">
        <v>31</v>
      </c>
      <c r="H125" s="7" t="n">
        <v>2.79</v>
      </c>
      <c r="I125" s="7"/>
      <c r="J125" s="7"/>
      <c r="K125" s="6" t="s">
        <v>32</v>
      </c>
      <c r="L125" s="6" t="s">
        <v>33</v>
      </c>
      <c r="M125" s="8" t="n">
        <f aca="false">IF(H125&lt;E125,(E125-H125)/H125,IF(H125&gt;F125,(F125-H125)/H125,0))</f>
        <v>0.254480286738351</v>
      </c>
      <c r="N125" s="9" t="s">
        <v>34</v>
      </c>
      <c r="O125" s="9" t="s">
        <v>34</v>
      </c>
    </row>
    <row r="126" customFormat="false" ht="15" hidden="false" customHeight="false" outlineLevel="0" collapsed="false">
      <c r="A126" s="6" t="s">
        <v>264</v>
      </c>
      <c r="B126" s="6" t="s">
        <v>258</v>
      </c>
      <c r="C126" s="6" t="s">
        <v>265</v>
      </c>
      <c r="D126" s="6" t="s">
        <v>30</v>
      </c>
      <c r="E126" s="7" t="n">
        <v>2.1</v>
      </c>
      <c r="F126" s="7" t="n">
        <v>2.5</v>
      </c>
      <c r="G126" s="6" t="s">
        <v>31</v>
      </c>
      <c r="H126" s="7" t="n">
        <v>2.19</v>
      </c>
      <c r="I126" s="7"/>
      <c r="J126" s="7"/>
      <c r="K126" s="6" t="s">
        <v>32</v>
      </c>
      <c r="L126" s="6" t="s">
        <v>33</v>
      </c>
      <c r="M126" s="8" t="n">
        <f aca="false">IF(H126&lt;E126,(E126-H126)/H126,IF(H126&gt;F126,(F126-H126)/H126,0))</f>
        <v>0</v>
      </c>
      <c r="N126" s="9" t="s">
        <v>34</v>
      </c>
      <c r="O126" s="9" t="s">
        <v>34</v>
      </c>
    </row>
    <row r="127" customFormat="false" ht="15" hidden="false" customHeight="false" outlineLevel="0" collapsed="false">
      <c r="A127" s="6" t="s">
        <v>266</v>
      </c>
      <c r="B127" s="6" t="s">
        <v>258</v>
      </c>
      <c r="C127" s="6" t="s">
        <v>267</v>
      </c>
      <c r="D127" s="6" t="s">
        <v>268</v>
      </c>
      <c r="E127" s="7" t="n">
        <v>2.1</v>
      </c>
      <c r="F127" s="7" t="n">
        <v>2.5</v>
      </c>
      <c r="G127" s="6" t="s">
        <v>31</v>
      </c>
      <c r="H127" s="7" t="n">
        <v>2.29</v>
      </c>
      <c r="I127" s="7"/>
      <c r="J127" s="7"/>
      <c r="K127" s="6" t="s">
        <v>32</v>
      </c>
      <c r="L127" s="6" t="s">
        <v>33</v>
      </c>
      <c r="M127" s="8" t="n">
        <f aca="false">IF(H127&lt;E127,(E127-H127)/H127,IF(H127&gt;F127,(F127-H127)/H127,0))</f>
        <v>0</v>
      </c>
      <c r="N127" s="9" t="s">
        <v>34</v>
      </c>
      <c r="O127" s="9" t="s">
        <v>34</v>
      </c>
    </row>
    <row r="128" customFormat="false" ht="15" hidden="false" customHeight="false" outlineLevel="0" collapsed="false">
      <c r="A128" s="6" t="s">
        <v>269</v>
      </c>
      <c r="B128" s="6" t="s">
        <v>258</v>
      </c>
      <c r="C128" s="6" t="s">
        <v>270</v>
      </c>
      <c r="D128" s="6" t="s">
        <v>30</v>
      </c>
      <c r="E128" s="7" t="n">
        <v>2.3</v>
      </c>
      <c r="F128" s="7" t="n">
        <v>3.3</v>
      </c>
      <c r="G128" s="6" t="s">
        <v>31</v>
      </c>
      <c r="H128" s="7" t="n">
        <v>2.49</v>
      </c>
      <c r="I128" s="7"/>
      <c r="J128" s="7"/>
      <c r="K128" s="6" t="s">
        <v>32</v>
      </c>
      <c r="L128" s="6" t="s">
        <v>33</v>
      </c>
      <c r="M128" s="8" t="n">
        <f aca="false">IF(H128&lt;E128,(E128-H128)/H128,IF(H128&gt;F128,(F128-H128)/H128,0))</f>
        <v>0</v>
      </c>
      <c r="N128" s="9" t="s">
        <v>34</v>
      </c>
      <c r="O128" s="9" t="s">
        <v>34</v>
      </c>
    </row>
    <row r="129" customFormat="false" ht="15" hidden="false" customHeight="false" outlineLevel="0" collapsed="false">
      <c r="A129" s="6" t="s">
        <v>271</v>
      </c>
      <c r="B129" s="6" t="s">
        <v>258</v>
      </c>
      <c r="C129" s="6" t="s">
        <v>272</v>
      </c>
      <c r="D129" s="6" t="s">
        <v>52</v>
      </c>
      <c r="E129" s="7" t="n">
        <v>6.5</v>
      </c>
      <c r="F129" s="7" t="n">
        <v>8.9</v>
      </c>
      <c r="G129" s="6" t="s">
        <v>31</v>
      </c>
      <c r="H129" s="7" t="n">
        <v>2.79</v>
      </c>
      <c r="I129" s="7"/>
      <c r="J129" s="7"/>
      <c r="K129" s="6" t="s">
        <v>32</v>
      </c>
      <c r="L129" s="6" t="s">
        <v>93</v>
      </c>
      <c r="M129" s="8" t="n">
        <f aca="false">IF(H129&lt;E129,(E129-H129)/H129,IF(H129&gt;F129,(F129-H129)/H129,0))</f>
        <v>1.32974910394265</v>
      </c>
      <c r="N129" s="9" t="s">
        <v>34</v>
      </c>
      <c r="O129" s="9" t="s">
        <v>34</v>
      </c>
    </row>
    <row r="130" customFormat="false" ht="15" hidden="false" customHeight="false" outlineLevel="0" collapsed="false">
      <c r="A130" s="6" t="s">
        <v>273</v>
      </c>
      <c r="B130" s="6" t="s">
        <v>258</v>
      </c>
      <c r="C130" s="6" t="s">
        <v>274</v>
      </c>
      <c r="D130" s="6" t="s">
        <v>52</v>
      </c>
      <c r="E130" s="7" t="n">
        <v>6.3</v>
      </c>
      <c r="F130" s="7" t="n">
        <v>6.8</v>
      </c>
      <c r="G130" s="6" t="s">
        <v>31</v>
      </c>
      <c r="H130" s="7" t="n">
        <v>5.9</v>
      </c>
      <c r="I130" s="7"/>
      <c r="J130" s="7"/>
      <c r="K130" s="6" t="s">
        <v>32</v>
      </c>
      <c r="L130" s="6" t="s">
        <v>33</v>
      </c>
      <c r="M130" s="8" t="n">
        <f aca="false">IF(H130&lt;E130,(E130-H130)/H130,IF(H130&gt;F130,(F130-H130)/H130,0))</f>
        <v>0.0677966101694914</v>
      </c>
      <c r="N130" s="9" t="s">
        <v>34</v>
      </c>
      <c r="O130" s="9" t="s">
        <v>34</v>
      </c>
    </row>
    <row r="131" customFormat="false" ht="15" hidden="false" customHeight="false" outlineLevel="0" collapsed="false">
      <c r="A131" s="6" t="s">
        <v>275</v>
      </c>
      <c r="B131" s="6" t="s">
        <v>258</v>
      </c>
      <c r="C131" s="6" t="s">
        <v>276</v>
      </c>
      <c r="D131" s="6" t="s">
        <v>277</v>
      </c>
      <c r="E131" s="7" t="n">
        <v>4.5</v>
      </c>
      <c r="F131" s="7" t="n">
        <v>4.5</v>
      </c>
      <c r="G131" s="6" t="s">
        <v>31</v>
      </c>
      <c r="H131" s="7" t="n">
        <v>4.19</v>
      </c>
      <c r="I131" s="7"/>
      <c r="J131" s="7"/>
      <c r="K131" s="6" t="s">
        <v>32</v>
      </c>
      <c r="L131" s="6" t="s">
        <v>33</v>
      </c>
      <c r="M131" s="8" t="n">
        <f aca="false">IF(H131&lt;E131,(E131-H131)/H131,IF(H131&gt;F131,(F131-H131)/H131,0))</f>
        <v>0.0739856801909307</v>
      </c>
      <c r="N131" s="9" t="s">
        <v>34</v>
      </c>
      <c r="O131" s="9" t="s">
        <v>34</v>
      </c>
    </row>
    <row r="132" customFormat="false" ht="15" hidden="false" customHeight="false" outlineLevel="0" collapsed="false">
      <c r="A132" s="6" t="s">
        <v>278</v>
      </c>
      <c r="B132" s="6" t="s">
        <v>279</v>
      </c>
      <c r="C132" s="6" t="s">
        <v>280</v>
      </c>
      <c r="D132" s="6" t="s">
        <v>30</v>
      </c>
      <c r="E132" s="7" t="n">
        <v>18.7</v>
      </c>
      <c r="F132" s="7" t="n">
        <v>18.7</v>
      </c>
      <c r="G132" s="6" t="s">
        <v>31</v>
      </c>
      <c r="H132" s="7" t="n">
        <v>19.99</v>
      </c>
      <c r="I132" s="7"/>
      <c r="J132" s="7"/>
      <c r="K132" s="6" t="s">
        <v>32</v>
      </c>
      <c r="L132" s="6" t="s">
        <v>33</v>
      </c>
      <c r="M132" s="8" t="n">
        <f aca="false">IF(H132&lt;E132,(E132-H132)/H132,IF(H132&gt;F132,(F132-H132)/H132,0))</f>
        <v>-0.0645322661330665</v>
      </c>
      <c r="N132" s="9" t="s">
        <v>34</v>
      </c>
      <c r="O132" s="9" t="s">
        <v>34</v>
      </c>
    </row>
    <row r="133" customFormat="false" ht="15" hidden="false" customHeight="false" outlineLevel="0" collapsed="false">
      <c r="A133" s="6" t="s">
        <v>281</v>
      </c>
      <c r="B133" s="6" t="s">
        <v>279</v>
      </c>
      <c r="C133" s="6" t="s">
        <v>282</v>
      </c>
      <c r="D133" s="6" t="s">
        <v>30</v>
      </c>
      <c r="E133" s="7" t="n">
        <v>21</v>
      </c>
      <c r="F133" s="7" t="n">
        <v>21</v>
      </c>
      <c r="G133" s="6" t="s">
        <v>31</v>
      </c>
      <c r="H133" s="7" t="n">
        <v>19.9</v>
      </c>
      <c r="I133" s="7"/>
      <c r="J133" s="7"/>
      <c r="K133" s="6" t="s">
        <v>32</v>
      </c>
      <c r="L133" s="6" t="s">
        <v>33</v>
      </c>
      <c r="M133" s="8" t="n">
        <f aca="false">IF(H133&lt;E133,(E133-H133)/H133,IF(H133&gt;F133,(F133-H133)/H133,0))</f>
        <v>0.0552763819095478</v>
      </c>
      <c r="N133" s="9" t="s">
        <v>34</v>
      </c>
      <c r="O133" s="9" t="s">
        <v>34</v>
      </c>
    </row>
    <row r="134" customFormat="false" ht="15" hidden="false" customHeight="false" outlineLevel="0" collapsed="false">
      <c r="A134" s="6" t="s">
        <v>283</v>
      </c>
      <c r="B134" s="6" t="s">
        <v>279</v>
      </c>
      <c r="C134" s="6" t="s">
        <v>284</v>
      </c>
      <c r="D134" s="6" t="s">
        <v>30</v>
      </c>
      <c r="E134" s="7" t="n">
        <v>11.9</v>
      </c>
      <c r="F134" s="7" t="n">
        <v>11.9</v>
      </c>
      <c r="G134" s="6" t="s">
        <v>31</v>
      </c>
      <c r="H134" s="7" t="n">
        <v>15.49</v>
      </c>
      <c r="I134" s="7"/>
      <c r="J134" s="7"/>
      <c r="K134" s="6" t="s">
        <v>40</v>
      </c>
      <c r="L134" s="6" t="s">
        <v>93</v>
      </c>
      <c r="M134" s="8" t="n">
        <f aca="false">IF(H134&lt;E134,(E134-H134)/H134,IF(H134&gt;F134,(F134-H134)/H134,0))</f>
        <v>-0.231762427372498</v>
      </c>
      <c r="N134" s="9" t="s">
        <v>34</v>
      </c>
      <c r="O134" s="9" t="s">
        <v>34</v>
      </c>
    </row>
    <row r="135" customFormat="false" ht="15" hidden="false" customHeight="false" outlineLevel="0" collapsed="false">
      <c r="A135" s="6" t="s">
        <v>285</v>
      </c>
      <c r="B135" s="6" t="s">
        <v>286</v>
      </c>
      <c r="C135" s="6" t="s">
        <v>287</v>
      </c>
      <c r="D135" s="6" t="s">
        <v>288</v>
      </c>
      <c r="E135" s="7" t="n">
        <v>23.9</v>
      </c>
      <c r="F135" s="7" t="n">
        <v>23.9</v>
      </c>
      <c r="G135" s="6" t="s">
        <v>31</v>
      </c>
      <c r="H135" s="7" t="n">
        <v>17.99</v>
      </c>
      <c r="I135" s="7"/>
      <c r="J135" s="7"/>
      <c r="K135" s="6" t="s">
        <v>32</v>
      </c>
      <c r="L135" s="6" t="s">
        <v>93</v>
      </c>
      <c r="M135" s="8" t="n">
        <f aca="false">IF(H135&lt;E135,(E135-H135)/H135,IF(H135&gt;F135,(F135-H135)/H135,0))</f>
        <v>0.328515842134519</v>
      </c>
      <c r="N135" s="9" t="s">
        <v>34</v>
      </c>
      <c r="O135" s="9" t="s">
        <v>34</v>
      </c>
    </row>
    <row r="136" customFormat="false" ht="15" hidden="false" customHeight="false" outlineLevel="0" collapsed="false">
      <c r="A136" s="6" t="s">
        <v>289</v>
      </c>
      <c r="B136" s="6" t="s">
        <v>290</v>
      </c>
      <c r="C136" s="6" t="s">
        <v>291</v>
      </c>
      <c r="D136" s="6" t="s">
        <v>111</v>
      </c>
      <c r="E136" s="7" t="n">
        <v>6.6</v>
      </c>
      <c r="F136" s="7" t="n">
        <v>6.6</v>
      </c>
      <c r="G136" s="6" t="s">
        <v>31</v>
      </c>
      <c r="H136" s="7" t="n">
        <v>5.99</v>
      </c>
      <c r="I136" s="7"/>
      <c r="J136" s="7"/>
      <c r="K136" s="6" t="s">
        <v>32</v>
      </c>
      <c r="L136" s="6" t="s">
        <v>93</v>
      </c>
      <c r="M136" s="8" t="n">
        <f aca="false">IF(H136&lt;E136,(E136-H136)/H136,IF(H136&gt;F136,(F136-H136)/H136,0))</f>
        <v>0.101836393989983</v>
      </c>
      <c r="N136" s="9" t="s">
        <v>34</v>
      </c>
      <c r="O136" s="9" t="s">
        <v>34</v>
      </c>
    </row>
    <row r="137" customFormat="false" ht="15" hidden="false" customHeight="false" outlineLevel="0" collapsed="false">
      <c r="A137" s="6" t="s">
        <v>292</v>
      </c>
      <c r="B137" s="6" t="s">
        <v>290</v>
      </c>
      <c r="C137" s="6" t="s">
        <v>293</v>
      </c>
      <c r="D137" s="6" t="s">
        <v>294</v>
      </c>
      <c r="E137" s="7" t="n">
        <v>6.6</v>
      </c>
      <c r="F137" s="7" t="n">
        <v>6.6</v>
      </c>
      <c r="G137" s="6" t="s">
        <v>31</v>
      </c>
      <c r="H137" s="7" t="n">
        <v>6.59</v>
      </c>
      <c r="I137" s="7"/>
      <c r="J137" s="7"/>
      <c r="K137" s="6" t="s">
        <v>32</v>
      </c>
      <c r="L137" s="6" t="s">
        <v>93</v>
      </c>
      <c r="M137" s="8" t="n">
        <f aca="false">IF(H137&lt;E137,(E137-H137)/H137,IF(H137&gt;F137,(F137-H137)/H137,0))</f>
        <v>0.00151745068285278</v>
      </c>
      <c r="N137" s="9" t="s">
        <v>34</v>
      </c>
      <c r="O137" s="9" t="s">
        <v>34</v>
      </c>
    </row>
    <row r="138" customFormat="false" ht="15" hidden="false" customHeight="false" outlineLevel="0" collapsed="false">
      <c r="A138" s="6" t="s">
        <v>295</v>
      </c>
      <c r="B138" s="6" t="s">
        <v>296</v>
      </c>
      <c r="C138" s="6" t="s">
        <v>297</v>
      </c>
      <c r="D138" s="6" t="s">
        <v>38</v>
      </c>
      <c r="E138" s="7" t="n">
        <v>7.95</v>
      </c>
      <c r="F138" s="7" t="n">
        <v>7.95</v>
      </c>
      <c r="G138" s="6" t="s">
        <v>31</v>
      </c>
      <c r="H138" s="7" t="n">
        <v>6.94</v>
      </c>
      <c r="I138" s="7"/>
      <c r="J138" s="7"/>
      <c r="K138" s="6" t="s">
        <v>32</v>
      </c>
      <c r="L138" s="6" t="s">
        <v>93</v>
      </c>
      <c r="M138" s="8" t="n">
        <f aca="false">IF(H138&lt;E138,(E138-H138)/H138,IF(H138&gt;F138,(F138-H138)/H138,0))</f>
        <v>0.145533141210375</v>
      </c>
      <c r="N138" s="9" t="s">
        <v>34</v>
      </c>
      <c r="O138" s="9" t="s">
        <v>34</v>
      </c>
    </row>
    <row r="139" customFormat="false" ht="15" hidden="false" customHeight="false" outlineLevel="0" collapsed="false">
      <c r="A139" s="6" t="s">
        <v>295</v>
      </c>
      <c r="B139" s="6" t="s">
        <v>296</v>
      </c>
      <c r="C139" s="6" t="s">
        <v>297</v>
      </c>
      <c r="D139" s="6" t="s">
        <v>38</v>
      </c>
      <c r="E139" s="7" t="n">
        <v>7.95</v>
      </c>
      <c r="F139" s="7" t="n">
        <v>7.95</v>
      </c>
      <c r="G139" s="6" t="s">
        <v>39</v>
      </c>
      <c r="H139" s="7" t="n">
        <v>6.49</v>
      </c>
      <c r="I139" s="7"/>
      <c r="J139" s="7"/>
      <c r="K139" s="6" t="s">
        <v>40</v>
      </c>
      <c r="L139" s="6" t="s">
        <v>93</v>
      </c>
      <c r="M139" s="8" t="n">
        <f aca="false">IF(H139&lt;E139,(E139-H139)/H139,IF(H139&gt;F139,(F139-H139)/H139,0))</f>
        <v>0.224961479198767</v>
      </c>
      <c r="N139" s="9" t="s">
        <v>34</v>
      </c>
      <c r="O139" s="9" t="s">
        <v>34</v>
      </c>
    </row>
    <row r="140" customFormat="false" ht="15" hidden="false" customHeight="false" outlineLevel="0" collapsed="false">
      <c r="A140" s="6" t="s">
        <v>295</v>
      </c>
      <c r="B140" s="6" t="s">
        <v>296</v>
      </c>
      <c r="C140" s="6" t="s">
        <v>297</v>
      </c>
      <c r="D140" s="6" t="s">
        <v>38</v>
      </c>
      <c r="E140" s="7" t="n">
        <v>7.95</v>
      </c>
      <c r="F140" s="7" t="n">
        <v>7.95</v>
      </c>
      <c r="G140" s="6" t="s">
        <v>226</v>
      </c>
      <c r="H140" s="7" t="n">
        <v>8.08</v>
      </c>
      <c r="I140" s="7"/>
      <c r="J140" s="7"/>
      <c r="K140" s="6" t="s">
        <v>40</v>
      </c>
      <c r="L140" s="6" t="s">
        <v>93</v>
      </c>
      <c r="M140" s="8" t="n">
        <f aca="false">IF(H140&lt;E140,(E140-H140)/H140,IF(H140&gt;F140,(F140-H140)/H140,0))</f>
        <v>-0.0160891089108911</v>
      </c>
      <c r="N140" s="9" t="s">
        <v>34</v>
      </c>
      <c r="O140" s="9" t="s">
        <v>34</v>
      </c>
    </row>
    <row r="141" customFormat="false" ht="15" hidden="false" customHeight="false" outlineLevel="0" collapsed="false">
      <c r="A141" s="6" t="s">
        <v>298</v>
      </c>
      <c r="B141" s="6" t="s">
        <v>296</v>
      </c>
      <c r="C141" s="6" t="s">
        <v>299</v>
      </c>
      <c r="D141" s="6" t="s">
        <v>38</v>
      </c>
      <c r="E141" s="7" t="n">
        <v>7.95</v>
      </c>
      <c r="F141" s="7" t="n">
        <v>7.95</v>
      </c>
      <c r="G141" s="6" t="s">
        <v>31</v>
      </c>
      <c r="H141" s="7" t="n">
        <v>6.94</v>
      </c>
      <c r="I141" s="7"/>
      <c r="J141" s="7"/>
      <c r="K141" s="6" t="s">
        <v>32</v>
      </c>
      <c r="L141" s="6" t="s">
        <v>93</v>
      </c>
      <c r="M141" s="8" t="n">
        <f aca="false">IF(H141&lt;E141,(E141-H141)/H141,IF(H141&gt;F141,(F141-H141)/H141,0))</f>
        <v>0.145533141210375</v>
      </c>
      <c r="N141" s="9" t="s">
        <v>34</v>
      </c>
      <c r="O141" s="9" t="s">
        <v>34</v>
      </c>
    </row>
    <row r="142" customFormat="false" ht="15" hidden="false" customHeight="false" outlineLevel="0" collapsed="false">
      <c r="A142" s="6" t="s">
        <v>298</v>
      </c>
      <c r="B142" s="6" t="s">
        <v>296</v>
      </c>
      <c r="C142" s="6" t="s">
        <v>299</v>
      </c>
      <c r="D142" s="6" t="s">
        <v>38</v>
      </c>
      <c r="E142" s="7" t="n">
        <v>7.95</v>
      </c>
      <c r="F142" s="7" t="n">
        <v>7.95</v>
      </c>
      <c r="G142" s="6" t="s">
        <v>39</v>
      </c>
      <c r="H142" s="7" t="n">
        <v>6.49</v>
      </c>
      <c r="I142" s="7"/>
      <c r="J142" s="7"/>
      <c r="K142" s="6" t="s">
        <v>40</v>
      </c>
      <c r="L142" s="6" t="s">
        <v>94</v>
      </c>
      <c r="M142" s="8" t="n">
        <f aca="false">IF(H142&lt;E142,(E142-H142)/H142,IF(H142&gt;F142,(F142-H142)/H142,0))</f>
        <v>0.224961479198767</v>
      </c>
      <c r="N142" s="9" t="s">
        <v>34</v>
      </c>
      <c r="O142" s="9" t="s">
        <v>34</v>
      </c>
    </row>
    <row r="143" customFormat="false" ht="15" hidden="false" customHeight="false" outlineLevel="0" collapsed="false">
      <c r="A143" s="6" t="s">
        <v>298</v>
      </c>
      <c r="B143" s="6" t="s">
        <v>296</v>
      </c>
      <c r="C143" s="6" t="s">
        <v>299</v>
      </c>
      <c r="D143" s="6" t="s">
        <v>38</v>
      </c>
      <c r="E143" s="7" t="n">
        <v>7.95</v>
      </c>
      <c r="F143" s="7" t="n">
        <v>7.95</v>
      </c>
      <c r="G143" s="6" t="s">
        <v>226</v>
      </c>
      <c r="H143" s="7" t="n">
        <v>8.08</v>
      </c>
      <c r="I143" s="7"/>
      <c r="J143" s="7"/>
      <c r="K143" s="6" t="s">
        <v>40</v>
      </c>
      <c r="L143" s="6" t="s">
        <v>93</v>
      </c>
      <c r="M143" s="8" t="n">
        <f aca="false">IF(H143&lt;E143,(E143-H143)/H143,IF(H143&gt;F143,(F143-H143)/H143,0))</f>
        <v>-0.0160891089108911</v>
      </c>
      <c r="N143" s="9" t="s">
        <v>34</v>
      </c>
      <c r="O143" s="9" t="s">
        <v>34</v>
      </c>
    </row>
    <row r="144" customFormat="false" ht="15" hidden="false" customHeight="false" outlineLevel="0" collapsed="false">
      <c r="A144" s="6" t="s">
        <v>300</v>
      </c>
      <c r="B144" s="6" t="s">
        <v>296</v>
      </c>
      <c r="C144" s="6" t="s">
        <v>301</v>
      </c>
      <c r="D144" s="6" t="s">
        <v>30</v>
      </c>
      <c r="E144" s="7" t="n">
        <v>8.9</v>
      </c>
      <c r="F144" s="7" t="n">
        <v>8.9</v>
      </c>
      <c r="G144" s="6" t="s">
        <v>31</v>
      </c>
      <c r="H144" s="7" t="n">
        <v>6.6</v>
      </c>
      <c r="I144" s="7"/>
      <c r="J144" s="7"/>
      <c r="K144" s="6" t="s">
        <v>32</v>
      </c>
      <c r="L144" s="6" t="s">
        <v>93</v>
      </c>
      <c r="M144" s="8" t="n">
        <f aca="false">IF(H144&lt;E144,(E144-H144)/H144,IF(H144&gt;F144,(F144-H144)/H144,0))</f>
        <v>0.348484848484849</v>
      </c>
      <c r="N144" s="9" t="s">
        <v>34</v>
      </c>
      <c r="O144" s="9" t="s">
        <v>34</v>
      </c>
    </row>
    <row r="145" customFormat="false" ht="15" hidden="false" customHeight="false" outlineLevel="0" collapsed="false">
      <c r="A145" s="6" t="s">
        <v>300</v>
      </c>
      <c r="B145" s="6" t="s">
        <v>296</v>
      </c>
      <c r="C145" s="6" t="s">
        <v>301</v>
      </c>
      <c r="D145" s="6" t="s">
        <v>30</v>
      </c>
      <c r="E145" s="7" t="n">
        <v>8.9</v>
      </c>
      <c r="F145" s="7" t="n">
        <v>8.9</v>
      </c>
      <c r="G145" s="6" t="s">
        <v>147</v>
      </c>
      <c r="H145" s="7" t="n">
        <v>7.9</v>
      </c>
      <c r="I145" s="7"/>
      <c r="J145" s="7"/>
      <c r="K145" s="6" t="s">
        <v>32</v>
      </c>
      <c r="L145" s="6" t="s">
        <v>45</v>
      </c>
      <c r="M145" s="8" t="n">
        <f aca="false">IF(H145&lt;E145,(E145-H145)/H145,IF(H145&gt;F145,(F145-H145)/H145,0))</f>
        <v>0.126582278481013</v>
      </c>
      <c r="N145" s="9" t="s">
        <v>34</v>
      </c>
      <c r="O145" s="9" t="s">
        <v>34</v>
      </c>
    </row>
    <row r="146" customFormat="false" ht="15" hidden="false" customHeight="false" outlineLevel="0" collapsed="false">
      <c r="A146" s="6" t="s">
        <v>300</v>
      </c>
      <c r="B146" s="6" t="s">
        <v>296</v>
      </c>
      <c r="C146" s="6" t="s">
        <v>301</v>
      </c>
      <c r="D146" s="6" t="s">
        <v>30</v>
      </c>
      <c r="E146" s="7" t="n">
        <v>8.9</v>
      </c>
      <c r="F146" s="7" t="n">
        <v>8.9</v>
      </c>
      <c r="G146" s="6" t="s">
        <v>105</v>
      </c>
      <c r="H146" s="7" t="n">
        <v>8.59</v>
      </c>
      <c r="I146" s="7"/>
      <c r="J146" s="7"/>
      <c r="K146" s="6" t="s">
        <v>106</v>
      </c>
      <c r="L146" s="6" t="s">
        <v>93</v>
      </c>
      <c r="M146" s="8" t="n">
        <f aca="false">IF(H146&lt;E146,(E146-H146)/H146,IF(H146&gt;F146,(F146-H146)/H146,0))</f>
        <v>0.0360884749708965</v>
      </c>
      <c r="N146" s="9" t="s">
        <v>34</v>
      </c>
      <c r="O146" s="9" t="s">
        <v>34</v>
      </c>
    </row>
    <row r="147" customFormat="false" ht="15" hidden="false" customHeight="false" outlineLevel="0" collapsed="false">
      <c r="A147" s="6" t="s">
        <v>300</v>
      </c>
      <c r="B147" s="6" t="s">
        <v>296</v>
      </c>
      <c r="C147" s="6" t="s">
        <v>301</v>
      </c>
      <c r="D147" s="6" t="s">
        <v>30</v>
      </c>
      <c r="E147" s="7" t="n">
        <v>8.9</v>
      </c>
      <c r="F147" s="7" t="n">
        <v>8.9</v>
      </c>
      <c r="G147" s="6" t="s">
        <v>39</v>
      </c>
      <c r="H147" s="7" t="n">
        <v>6.49</v>
      </c>
      <c r="I147" s="7"/>
      <c r="J147" s="7"/>
      <c r="K147" s="6" t="s">
        <v>40</v>
      </c>
      <c r="L147" s="6" t="s">
        <v>94</v>
      </c>
      <c r="M147" s="8" t="n">
        <f aca="false">IF(H147&lt;E147,(E147-H147)/H147,IF(H147&gt;F147,(F147-H147)/H147,0))</f>
        <v>0.371340523882897</v>
      </c>
      <c r="N147" s="9" t="s">
        <v>34</v>
      </c>
      <c r="O147" s="9" t="s">
        <v>34</v>
      </c>
    </row>
    <row r="148" customFormat="false" ht="15" hidden="false" customHeight="false" outlineLevel="0" collapsed="false">
      <c r="A148" s="6" t="s">
        <v>300</v>
      </c>
      <c r="B148" s="6" t="s">
        <v>296</v>
      </c>
      <c r="C148" s="6" t="s">
        <v>301</v>
      </c>
      <c r="D148" s="6" t="s">
        <v>30</v>
      </c>
      <c r="E148" s="7" t="n">
        <v>8.9</v>
      </c>
      <c r="F148" s="7" t="n">
        <v>8.9</v>
      </c>
      <c r="G148" s="6" t="s">
        <v>226</v>
      </c>
      <c r="H148" s="7" t="n">
        <v>8.08</v>
      </c>
      <c r="I148" s="7"/>
      <c r="J148" s="7"/>
      <c r="K148" s="6" t="s">
        <v>40</v>
      </c>
      <c r="L148" s="6" t="s">
        <v>93</v>
      </c>
      <c r="M148" s="8" t="n">
        <f aca="false">IF(H148&lt;E148,(E148-H148)/H148,IF(H148&gt;F148,(F148-H148)/H148,0))</f>
        <v>0.101485148514852</v>
      </c>
      <c r="N148" s="9" t="s">
        <v>34</v>
      </c>
      <c r="O148" s="9" t="s">
        <v>34</v>
      </c>
    </row>
    <row r="149" customFormat="false" ht="15" hidden="false" customHeight="false" outlineLevel="0" collapsed="false">
      <c r="A149" s="6" t="s">
        <v>302</v>
      </c>
      <c r="B149" s="6" t="s">
        <v>296</v>
      </c>
      <c r="C149" s="6" t="s">
        <v>303</v>
      </c>
      <c r="D149" s="6" t="s">
        <v>30</v>
      </c>
      <c r="E149" s="7" t="n">
        <v>7.95</v>
      </c>
      <c r="F149" s="7" t="n">
        <v>7.95</v>
      </c>
      <c r="G149" s="6" t="s">
        <v>31</v>
      </c>
      <c r="H149" s="7" t="n">
        <v>6.6</v>
      </c>
      <c r="I149" s="7"/>
      <c r="J149" s="7"/>
      <c r="K149" s="6" t="s">
        <v>32</v>
      </c>
      <c r="L149" s="6" t="s">
        <v>93</v>
      </c>
      <c r="M149" s="8" t="n">
        <f aca="false">IF(H149&lt;E149,(E149-H149)/H149,IF(H149&gt;F149,(F149-H149)/H149,0))</f>
        <v>0.204545454545455</v>
      </c>
      <c r="N149" s="9" t="s">
        <v>34</v>
      </c>
      <c r="O149" s="9" t="s">
        <v>34</v>
      </c>
    </row>
    <row r="150" customFormat="false" ht="15" hidden="false" customHeight="false" outlineLevel="0" collapsed="false">
      <c r="A150" s="6" t="s">
        <v>302</v>
      </c>
      <c r="B150" s="6" t="s">
        <v>296</v>
      </c>
      <c r="C150" s="6" t="s">
        <v>303</v>
      </c>
      <c r="D150" s="6" t="s">
        <v>30</v>
      </c>
      <c r="E150" s="7" t="n">
        <v>7.95</v>
      </c>
      <c r="F150" s="7" t="n">
        <v>7.95</v>
      </c>
      <c r="G150" s="6" t="s">
        <v>147</v>
      </c>
      <c r="H150" s="7" t="n">
        <v>7.9</v>
      </c>
      <c r="I150" s="7"/>
      <c r="J150" s="7"/>
      <c r="K150" s="6" t="s">
        <v>32</v>
      </c>
      <c r="L150" s="6" t="s">
        <v>93</v>
      </c>
      <c r="M150" s="8" t="n">
        <f aca="false">IF(H150&lt;E150,(E150-H150)/H150,IF(H150&gt;F150,(F150-H150)/H150,0))</f>
        <v>0.00632911392405061</v>
      </c>
      <c r="N150" s="9" t="s">
        <v>34</v>
      </c>
      <c r="O150" s="9" t="s">
        <v>34</v>
      </c>
    </row>
    <row r="151" customFormat="false" ht="15" hidden="false" customHeight="false" outlineLevel="0" collapsed="false">
      <c r="A151" s="6" t="s">
        <v>302</v>
      </c>
      <c r="B151" s="6" t="s">
        <v>296</v>
      </c>
      <c r="C151" s="6" t="s">
        <v>303</v>
      </c>
      <c r="D151" s="6" t="s">
        <v>30</v>
      </c>
      <c r="E151" s="7" t="n">
        <v>7.95</v>
      </c>
      <c r="F151" s="7" t="n">
        <v>7.95</v>
      </c>
      <c r="G151" s="6" t="s">
        <v>105</v>
      </c>
      <c r="H151" s="7" t="n">
        <v>8.59</v>
      </c>
      <c r="I151" s="7"/>
      <c r="J151" s="7"/>
      <c r="K151" s="6" t="s">
        <v>106</v>
      </c>
      <c r="L151" s="6" t="s">
        <v>93</v>
      </c>
      <c r="M151" s="8" t="n">
        <f aca="false">IF(H151&lt;E151,(E151-H151)/H151,IF(H151&gt;F151,(F151-H151)/H151,0))</f>
        <v>-0.0745052386495925</v>
      </c>
      <c r="N151" s="9" t="s">
        <v>34</v>
      </c>
      <c r="O151" s="9" t="s">
        <v>34</v>
      </c>
    </row>
    <row r="152" customFormat="false" ht="15" hidden="false" customHeight="false" outlineLevel="0" collapsed="false">
      <c r="A152" s="6" t="s">
        <v>302</v>
      </c>
      <c r="B152" s="6" t="s">
        <v>296</v>
      </c>
      <c r="C152" s="6" t="s">
        <v>303</v>
      </c>
      <c r="D152" s="6" t="s">
        <v>30</v>
      </c>
      <c r="E152" s="7" t="n">
        <v>7.95</v>
      </c>
      <c r="F152" s="7" t="n">
        <v>7.95</v>
      </c>
      <c r="G152" s="6" t="s">
        <v>39</v>
      </c>
      <c r="H152" s="7" t="n">
        <v>6.49</v>
      </c>
      <c r="I152" s="7"/>
      <c r="J152" s="7"/>
      <c r="K152" s="6" t="s">
        <v>40</v>
      </c>
      <c r="L152" s="6" t="s">
        <v>93</v>
      </c>
      <c r="M152" s="8" t="n">
        <f aca="false">IF(H152&lt;E152,(E152-H152)/H152,IF(H152&gt;F152,(F152-H152)/H152,0))</f>
        <v>0.224961479198767</v>
      </c>
      <c r="N152" s="9" t="s">
        <v>34</v>
      </c>
      <c r="O152" s="9" t="s">
        <v>34</v>
      </c>
    </row>
    <row r="153" customFormat="false" ht="15" hidden="false" customHeight="false" outlineLevel="0" collapsed="false">
      <c r="A153" s="6" t="s">
        <v>302</v>
      </c>
      <c r="B153" s="6" t="s">
        <v>296</v>
      </c>
      <c r="C153" s="6" t="s">
        <v>303</v>
      </c>
      <c r="D153" s="6" t="s">
        <v>30</v>
      </c>
      <c r="E153" s="7" t="n">
        <v>7.95</v>
      </c>
      <c r="F153" s="7" t="n">
        <v>7.95</v>
      </c>
      <c r="G153" s="6" t="s">
        <v>226</v>
      </c>
      <c r="H153" s="7" t="n">
        <v>8.08</v>
      </c>
      <c r="I153" s="7"/>
      <c r="J153" s="7"/>
      <c r="K153" s="6" t="s">
        <v>40</v>
      </c>
      <c r="L153" s="6" t="s">
        <v>45</v>
      </c>
      <c r="M153" s="8" t="n">
        <f aca="false">IF(H153&lt;E153,(E153-H153)/H153,IF(H153&gt;F153,(F153-H153)/H153,0))</f>
        <v>-0.0160891089108911</v>
      </c>
      <c r="N153" s="9" t="s">
        <v>34</v>
      </c>
      <c r="O153" s="9" t="s">
        <v>34</v>
      </c>
    </row>
    <row r="154" customFormat="false" ht="15" hidden="false" customHeight="false" outlineLevel="0" collapsed="false">
      <c r="A154" s="6" t="s">
        <v>304</v>
      </c>
      <c r="B154" s="6" t="s">
        <v>296</v>
      </c>
      <c r="C154" s="6" t="s">
        <v>305</v>
      </c>
      <c r="D154" s="6" t="s">
        <v>52</v>
      </c>
      <c r="E154" s="7" t="n">
        <v>11.99</v>
      </c>
      <c r="F154" s="7" t="n">
        <v>11.99</v>
      </c>
      <c r="G154" s="6" t="s">
        <v>31</v>
      </c>
      <c r="H154" s="7" t="n">
        <v>7.99</v>
      </c>
      <c r="I154" s="7"/>
      <c r="J154" s="7"/>
      <c r="K154" s="6" t="s">
        <v>32</v>
      </c>
      <c r="L154" s="6" t="s">
        <v>93</v>
      </c>
      <c r="M154" s="8" t="n">
        <f aca="false">IF(H154&lt;E154,(E154-H154)/H154,IF(H154&gt;F154,(F154-H154)/H154,0))</f>
        <v>0.500625782227785</v>
      </c>
      <c r="N154" s="9" t="s">
        <v>34</v>
      </c>
      <c r="O154" s="9" t="s">
        <v>34</v>
      </c>
    </row>
    <row r="155" customFormat="false" ht="15" hidden="false" customHeight="false" outlineLevel="0" collapsed="false">
      <c r="A155" s="6" t="s">
        <v>304</v>
      </c>
      <c r="B155" s="6" t="s">
        <v>296</v>
      </c>
      <c r="C155" s="6" t="s">
        <v>305</v>
      </c>
      <c r="D155" s="6" t="s">
        <v>52</v>
      </c>
      <c r="E155" s="7" t="n">
        <v>11.99</v>
      </c>
      <c r="F155" s="7" t="n">
        <v>11.99</v>
      </c>
      <c r="G155" s="6" t="s">
        <v>105</v>
      </c>
      <c r="H155" s="7" t="n">
        <v>8.59</v>
      </c>
      <c r="I155" s="7"/>
      <c r="J155" s="7"/>
      <c r="K155" s="6" t="s">
        <v>106</v>
      </c>
      <c r="L155" s="6" t="s">
        <v>93</v>
      </c>
      <c r="M155" s="8" t="n">
        <f aca="false">IF(H155&lt;E155,(E155-H155)/H155,IF(H155&gt;F155,(F155-H155)/H155,0))</f>
        <v>0.39580908032596</v>
      </c>
      <c r="N155" s="9" t="s">
        <v>34</v>
      </c>
      <c r="O155" s="9" t="s">
        <v>34</v>
      </c>
    </row>
    <row r="156" customFormat="false" ht="15" hidden="false" customHeight="false" outlineLevel="0" collapsed="false">
      <c r="A156" s="6" t="s">
        <v>304</v>
      </c>
      <c r="B156" s="6" t="s">
        <v>296</v>
      </c>
      <c r="C156" s="6" t="s">
        <v>305</v>
      </c>
      <c r="D156" s="6" t="s">
        <v>52</v>
      </c>
      <c r="E156" s="7" t="n">
        <v>11.99</v>
      </c>
      <c r="F156" s="7" t="n">
        <v>11.99</v>
      </c>
      <c r="G156" s="6" t="s">
        <v>39</v>
      </c>
      <c r="H156" s="7" t="n">
        <v>6.49</v>
      </c>
      <c r="I156" s="7"/>
      <c r="J156" s="7"/>
      <c r="K156" s="6" t="s">
        <v>40</v>
      </c>
      <c r="L156" s="6" t="s">
        <v>93</v>
      </c>
      <c r="M156" s="8" t="n">
        <f aca="false">IF(H156&lt;E156,(E156-H156)/H156,IF(H156&gt;F156,(F156-H156)/H156,0))</f>
        <v>0.847457627118644</v>
      </c>
      <c r="N156" s="9" t="s">
        <v>34</v>
      </c>
      <c r="O156" s="9" t="s">
        <v>34</v>
      </c>
    </row>
    <row r="157" customFormat="false" ht="15" hidden="false" customHeight="false" outlineLevel="0" collapsed="false">
      <c r="A157" s="6" t="s">
        <v>306</v>
      </c>
      <c r="B157" s="6" t="s">
        <v>307</v>
      </c>
      <c r="C157" s="6" t="s">
        <v>308</v>
      </c>
      <c r="D157" s="6" t="s">
        <v>30</v>
      </c>
      <c r="E157" s="7" t="n">
        <v>7.75</v>
      </c>
      <c r="F157" s="7" t="n">
        <v>7.75</v>
      </c>
      <c r="G157" s="6" t="s">
        <v>31</v>
      </c>
      <c r="H157" s="7" t="n">
        <v>8.09</v>
      </c>
      <c r="I157" s="7"/>
      <c r="J157" s="7"/>
      <c r="K157" s="6" t="s">
        <v>32</v>
      </c>
      <c r="L157" s="6" t="s">
        <v>93</v>
      </c>
      <c r="M157" s="8" t="n">
        <f aca="false">IF(H157&lt;E157,(E157-H157)/H157,IF(H157&gt;F157,(F157-H157)/H157,0))</f>
        <v>-0.0420271940667491</v>
      </c>
      <c r="N157" s="9" t="s">
        <v>34</v>
      </c>
      <c r="O157" s="9" t="s">
        <v>34</v>
      </c>
    </row>
    <row r="158" customFormat="false" ht="15" hidden="false" customHeight="false" outlineLevel="0" collapsed="false">
      <c r="A158" s="6" t="s">
        <v>309</v>
      </c>
      <c r="B158" s="6" t="s">
        <v>307</v>
      </c>
      <c r="C158" s="6" t="s">
        <v>310</v>
      </c>
      <c r="D158" s="6" t="s">
        <v>30</v>
      </c>
      <c r="E158" s="7" t="n">
        <v>7.75</v>
      </c>
      <c r="F158" s="7" t="n">
        <v>7.75</v>
      </c>
      <c r="G158" s="6" t="s">
        <v>31</v>
      </c>
      <c r="H158" s="7" t="n">
        <v>8.09</v>
      </c>
      <c r="I158" s="7"/>
      <c r="J158" s="7"/>
      <c r="K158" s="6" t="s">
        <v>32</v>
      </c>
      <c r="L158" s="6" t="s">
        <v>93</v>
      </c>
      <c r="M158" s="8" t="n">
        <f aca="false">IF(H158&lt;E158,(E158-H158)/H158,IF(H158&gt;F158,(F158-H158)/H158,0))</f>
        <v>-0.0420271940667491</v>
      </c>
      <c r="N158" s="9" t="s">
        <v>34</v>
      </c>
      <c r="O158" s="9" t="s">
        <v>34</v>
      </c>
    </row>
    <row r="159" customFormat="false" ht="15" hidden="false" customHeight="false" outlineLevel="0" collapsed="false">
      <c r="A159" s="6" t="s">
        <v>311</v>
      </c>
      <c r="B159" s="6" t="s">
        <v>307</v>
      </c>
      <c r="C159" s="6" t="s">
        <v>312</v>
      </c>
      <c r="D159" s="6" t="s">
        <v>30</v>
      </c>
      <c r="E159" s="7" t="n">
        <v>7.75</v>
      </c>
      <c r="F159" s="7" t="n">
        <v>7.75</v>
      </c>
      <c r="G159" s="6" t="s">
        <v>31</v>
      </c>
      <c r="H159" s="7" t="n">
        <v>8.09</v>
      </c>
      <c r="I159" s="7"/>
      <c r="J159" s="7"/>
      <c r="K159" s="6" t="s">
        <v>32</v>
      </c>
      <c r="L159" s="6" t="s">
        <v>93</v>
      </c>
      <c r="M159" s="8" t="n">
        <f aca="false">IF(H159&lt;E159,(E159-H159)/H159,IF(H159&gt;F159,(F159-H159)/H159,0))</f>
        <v>-0.0420271940667491</v>
      </c>
      <c r="N159" s="9" t="s">
        <v>34</v>
      </c>
      <c r="O159" s="9" t="s">
        <v>34</v>
      </c>
    </row>
    <row r="160" customFormat="false" ht="15" hidden="false" customHeight="false" outlineLevel="0" collapsed="false">
      <c r="A160" s="6" t="s">
        <v>313</v>
      </c>
      <c r="B160" s="6" t="s">
        <v>307</v>
      </c>
      <c r="C160" s="6" t="s">
        <v>314</v>
      </c>
      <c r="D160" s="6" t="s">
        <v>30</v>
      </c>
      <c r="E160" s="7" t="n">
        <v>7.75</v>
      </c>
      <c r="F160" s="7" t="n">
        <v>7.75</v>
      </c>
      <c r="G160" s="6" t="s">
        <v>31</v>
      </c>
      <c r="H160" s="7" t="n">
        <v>8.09</v>
      </c>
      <c r="I160" s="7"/>
      <c r="J160" s="7"/>
      <c r="K160" s="6" t="s">
        <v>32</v>
      </c>
      <c r="L160" s="6" t="s">
        <v>93</v>
      </c>
      <c r="M160" s="8" t="n">
        <f aca="false">IF(H160&lt;E160,(E160-H160)/H160,IF(H160&gt;F160,(F160-H160)/H160,0))</f>
        <v>-0.0420271940667491</v>
      </c>
      <c r="N160" s="9" t="s">
        <v>34</v>
      </c>
      <c r="O160" s="9" t="s">
        <v>34</v>
      </c>
    </row>
    <row r="161" customFormat="false" ht="15" hidden="false" customHeight="false" outlineLevel="0" collapsed="false">
      <c r="A161" s="6" t="s">
        <v>315</v>
      </c>
      <c r="B161" s="6" t="s">
        <v>307</v>
      </c>
      <c r="C161" s="6" t="s">
        <v>316</v>
      </c>
      <c r="D161" s="6" t="s">
        <v>38</v>
      </c>
      <c r="E161" s="7" t="n">
        <v>6.75</v>
      </c>
      <c r="F161" s="7" t="n">
        <v>6.75</v>
      </c>
      <c r="G161" s="6" t="s">
        <v>31</v>
      </c>
      <c r="H161" s="7" t="n">
        <v>7.99</v>
      </c>
      <c r="I161" s="7"/>
      <c r="J161" s="7"/>
      <c r="K161" s="6" t="s">
        <v>32</v>
      </c>
      <c r="L161" s="6" t="s">
        <v>93</v>
      </c>
      <c r="M161" s="8" t="n">
        <f aca="false">IF(H161&lt;E161,(E161-H161)/H161,IF(H161&gt;F161,(F161-H161)/H161,0))</f>
        <v>-0.155193992490613</v>
      </c>
      <c r="N161" s="9" t="s">
        <v>34</v>
      </c>
      <c r="O161" s="9" t="s">
        <v>34</v>
      </c>
    </row>
    <row r="162" customFormat="false" ht="15" hidden="false" customHeight="false" outlineLevel="0" collapsed="false">
      <c r="A162" s="6" t="s">
        <v>317</v>
      </c>
      <c r="B162" s="6" t="s">
        <v>318</v>
      </c>
      <c r="C162" s="6" t="s">
        <v>319</v>
      </c>
      <c r="D162" s="6" t="s">
        <v>38</v>
      </c>
      <c r="E162" s="7" t="n">
        <v>12.9</v>
      </c>
      <c r="F162" s="7" t="n">
        <v>12.9</v>
      </c>
      <c r="G162" s="6" t="s">
        <v>31</v>
      </c>
      <c r="H162" s="7" t="n">
        <v>11.35</v>
      </c>
      <c r="I162" s="7"/>
      <c r="J162" s="7"/>
      <c r="K162" s="6" t="s">
        <v>32</v>
      </c>
      <c r="L162" s="6" t="s">
        <v>93</v>
      </c>
      <c r="M162" s="8" t="n">
        <f aca="false">IF(H162&lt;E162,(E162-H162)/H162,IF(H162&gt;F162,(F162-H162)/H162,0))</f>
        <v>0.136563876651982</v>
      </c>
      <c r="N162" s="9" t="s">
        <v>34</v>
      </c>
      <c r="O162" s="9" t="s">
        <v>34</v>
      </c>
    </row>
    <row r="163" customFormat="false" ht="15" hidden="false" customHeight="false" outlineLevel="0" collapsed="false">
      <c r="A163" s="6" t="s">
        <v>317</v>
      </c>
      <c r="B163" s="6" t="s">
        <v>318</v>
      </c>
      <c r="C163" s="6" t="s">
        <v>319</v>
      </c>
      <c r="D163" s="6" t="s">
        <v>38</v>
      </c>
      <c r="E163" s="7" t="n">
        <v>12.9</v>
      </c>
      <c r="F163" s="7" t="n">
        <v>12.9</v>
      </c>
      <c r="G163" s="6" t="s">
        <v>147</v>
      </c>
      <c r="H163" s="7" t="n">
        <v>10</v>
      </c>
      <c r="I163" s="7" t="n">
        <v>10</v>
      </c>
      <c r="J163" s="7" t="n">
        <v>11</v>
      </c>
      <c r="K163" s="6" t="s">
        <v>40</v>
      </c>
      <c r="L163" s="6" t="s">
        <v>93</v>
      </c>
      <c r="M163" s="8" t="n">
        <f aca="false">IF(H163&lt;E163,(E163-H163)/H163,IF(H163&gt;F163,(F163-H163)/H163,0))</f>
        <v>0.29</v>
      </c>
      <c r="N163" s="9" t="s">
        <v>34</v>
      </c>
      <c r="O163" s="9" t="s">
        <v>34</v>
      </c>
    </row>
    <row r="164" customFormat="false" ht="15" hidden="false" customHeight="false" outlineLevel="0" collapsed="false">
      <c r="A164" s="6" t="s">
        <v>320</v>
      </c>
      <c r="B164" s="6" t="s">
        <v>318</v>
      </c>
      <c r="C164" s="6" t="s">
        <v>321</v>
      </c>
      <c r="D164" s="6" t="s">
        <v>38</v>
      </c>
      <c r="E164" s="7" t="n">
        <v>13.95</v>
      </c>
      <c r="F164" s="7" t="n">
        <v>13.95</v>
      </c>
      <c r="G164" s="6" t="s">
        <v>31</v>
      </c>
      <c r="H164" s="7" t="n">
        <v>11.35</v>
      </c>
      <c r="I164" s="7"/>
      <c r="J164" s="7"/>
      <c r="K164" s="6" t="s">
        <v>32</v>
      </c>
      <c r="L164" s="6" t="s">
        <v>93</v>
      </c>
      <c r="M164" s="8" t="n">
        <f aca="false">IF(H164&lt;E164,(E164-H164)/H164,IF(H164&gt;F164,(F164-H164)/H164,0))</f>
        <v>0.229074889867841</v>
      </c>
      <c r="N164" s="9" t="s">
        <v>34</v>
      </c>
      <c r="O164" s="9" t="s">
        <v>34</v>
      </c>
    </row>
    <row r="165" customFormat="false" ht="15" hidden="false" customHeight="false" outlineLevel="0" collapsed="false">
      <c r="A165" s="6" t="s">
        <v>320</v>
      </c>
      <c r="B165" s="6" t="s">
        <v>318</v>
      </c>
      <c r="C165" s="6" t="s">
        <v>321</v>
      </c>
      <c r="D165" s="6" t="s">
        <v>38</v>
      </c>
      <c r="E165" s="7" t="n">
        <v>13.95</v>
      </c>
      <c r="F165" s="7" t="n">
        <v>13.95</v>
      </c>
      <c r="G165" s="6" t="s">
        <v>147</v>
      </c>
      <c r="H165" s="7" t="n">
        <v>10</v>
      </c>
      <c r="I165" s="7" t="n">
        <v>10</v>
      </c>
      <c r="J165" s="7" t="n">
        <v>11</v>
      </c>
      <c r="K165" s="6" t="s">
        <v>40</v>
      </c>
      <c r="L165" s="6" t="s">
        <v>93</v>
      </c>
      <c r="M165" s="8" t="n">
        <f aca="false">IF(H165&lt;E165,(E165-H165)/H165,IF(H165&gt;F165,(F165-H165)/H165,0))</f>
        <v>0.395</v>
      </c>
      <c r="N165" s="9" t="s">
        <v>34</v>
      </c>
      <c r="O165" s="9" t="s">
        <v>34</v>
      </c>
    </row>
    <row r="166" customFormat="false" ht="15" hidden="false" customHeight="false" outlineLevel="0" collapsed="false">
      <c r="A166" s="6" t="s">
        <v>322</v>
      </c>
      <c r="B166" s="6" t="s">
        <v>318</v>
      </c>
      <c r="C166" s="6" t="s">
        <v>323</v>
      </c>
      <c r="D166" s="6" t="s">
        <v>38</v>
      </c>
      <c r="E166" s="7" t="n">
        <v>14.5</v>
      </c>
      <c r="F166" s="7" t="n">
        <v>14.5</v>
      </c>
      <c r="G166" s="6" t="s">
        <v>31</v>
      </c>
      <c r="H166" s="7" t="n">
        <v>11.35</v>
      </c>
      <c r="I166" s="7"/>
      <c r="J166" s="7"/>
      <c r="K166" s="6" t="s">
        <v>32</v>
      </c>
      <c r="L166" s="6" t="s">
        <v>93</v>
      </c>
      <c r="M166" s="8" t="n">
        <f aca="false">IF(H166&lt;E166,(E166-H166)/H166,IF(H166&gt;F166,(F166-H166)/H166,0))</f>
        <v>0.277533039647577</v>
      </c>
      <c r="N166" s="9" t="s">
        <v>34</v>
      </c>
      <c r="O166" s="9" t="s">
        <v>34</v>
      </c>
    </row>
    <row r="167" customFormat="false" ht="15" hidden="false" customHeight="false" outlineLevel="0" collapsed="false">
      <c r="A167" s="6" t="s">
        <v>322</v>
      </c>
      <c r="B167" s="6" t="s">
        <v>318</v>
      </c>
      <c r="C167" s="6" t="s">
        <v>323</v>
      </c>
      <c r="D167" s="6" t="s">
        <v>38</v>
      </c>
      <c r="E167" s="7" t="n">
        <v>14.5</v>
      </c>
      <c r="F167" s="7" t="n">
        <v>14.5</v>
      </c>
      <c r="G167" s="6" t="s">
        <v>147</v>
      </c>
      <c r="H167" s="7" t="n">
        <v>10</v>
      </c>
      <c r="I167" s="7" t="n">
        <v>10</v>
      </c>
      <c r="J167" s="7" t="n">
        <v>11</v>
      </c>
      <c r="K167" s="6" t="s">
        <v>40</v>
      </c>
      <c r="L167" s="6" t="s">
        <v>93</v>
      </c>
      <c r="M167" s="8" t="n">
        <f aca="false">IF(H167&lt;E167,(E167-H167)/H167,IF(H167&gt;F167,(F167-H167)/H167,0))</f>
        <v>0.45</v>
      </c>
      <c r="N167" s="9" t="s">
        <v>34</v>
      </c>
      <c r="O167" s="9" t="s">
        <v>34</v>
      </c>
    </row>
    <row r="168" customFormat="false" ht="15" hidden="false" customHeight="false" outlineLevel="0" collapsed="false">
      <c r="A168" s="6" t="s">
        <v>324</v>
      </c>
      <c r="B168" s="6" t="s">
        <v>318</v>
      </c>
      <c r="C168" s="6" t="s">
        <v>325</v>
      </c>
      <c r="D168" s="6" t="s">
        <v>38</v>
      </c>
      <c r="E168" s="7" t="n">
        <v>11.5</v>
      </c>
      <c r="F168" s="7" t="n">
        <v>11.5</v>
      </c>
      <c r="G168" s="6" t="s">
        <v>31</v>
      </c>
      <c r="H168" s="7" t="n">
        <v>11.35</v>
      </c>
      <c r="I168" s="7"/>
      <c r="J168" s="7"/>
      <c r="K168" s="6" t="s">
        <v>32</v>
      </c>
      <c r="L168" s="6" t="s">
        <v>93</v>
      </c>
      <c r="M168" s="8" t="n">
        <f aca="false">IF(H168&lt;E168,(E168-H168)/H168,IF(H168&gt;F168,(F168-H168)/H168,0))</f>
        <v>0.013215859030837</v>
      </c>
      <c r="N168" s="9" t="s">
        <v>34</v>
      </c>
      <c r="O168" s="9" t="s">
        <v>34</v>
      </c>
    </row>
    <row r="169" customFormat="false" ht="15" hidden="false" customHeight="false" outlineLevel="0" collapsed="false">
      <c r="A169" s="6" t="s">
        <v>324</v>
      </c>
      <c r="B169" s="6" t="s">
        <v>318</v>
      </c>
      <c r="C169" s="6" t="s">
        <v>325</v>
      </c>
      <c r="D169" s="6" t="s">
        <v>38</v>
      </c>
      <c r="E169" s="7" t="n">
        <v>11.5</v>
      </c>
      <c r="F169" s="7" t="n">
        <v>11.5</v>
      </c>
      <c r="G169" s="6" t="s">
        <v>147</v>
      </c>
      <c r="H169" s="7" t="n">
        <v>10</v>
      </c>
      <c r="I169" s="7" t="n">
        <v>10</v>
      </c>
      <c r="J169" s="7" t="n">
        <v>11</v>
      </c>
      <c r="K169" s="6" t="s">
        <v>40</v>
      </c>
      <c r="L169" s="6" t="s">
        <v>93</v>
      </c>
      <c r="M169" s="8" t="n">
        <f aca="false">IF(H169&lt;E169,(E169-H169)/H169,IF(H169&gt;F169,(F169-H169)/H169,0))</f>
        <v>0.15</v>
      </c>
      <c r="N169" s="9" t="s">
        <v>34</v>
      </c>
      <c r="O169" s="9" t="s">
        <v>34</v>
      </c>
    </row>
    <row r="170" customFormat="false" ht="15" hidden="false" customHeight="false" outlineLevel="0" collapsed="false">
      <c r="A170" s="6" t="s">
        <v>326</v>
      </c>
      <c r="B170" s="6" t="s">
        <v>318</v>
      </c>
      <c r="C170" s="6" t="s">
        <v>327</v>
      </c>
      <c r="D170" s="6" t="s">
        <v>38</v>
      </c>
      <c r="E170" s="7" t="n">
        <v>11.5</v>
      </c>
      <c r="F170" s="7" t="n">
        <v>11.5</v>
      </c>
      <c r="G170" s="6" t="s">
        <v>31</v>
      </c>
      <c r="H170" s="7" t="n">
        <v>11.35</v>
      </c>
      <c r="I170" s="7"/>
      <c r="J170" s="7"/>
      <c r="K170" s="6" t="s">
        <v>32</v>
      </c>
      <c r="L170" s="6" t="s">
        <v>93</v>
      </c>
      <c r="M170" s="8" t="n">
        <f aca="false">IF(H170&lt;E170,(E170-H170)/H170,IF(H170&gt;F170,(F170-H170)/H170,0))</f>
        <v>0.013215859030837</v>
      </c>
      <c r="N170" s="9" t="s">
        <v>34</v>
      </c>
      <c r="O170" s="9" t="s">
        <v>34</v>
      </c>
    </row>
    <row r="171" customFormat="false" ht="15" hidden="false" customHeight="false" outlineLevel="0" collapsed="false">
      <c r="A171" s="6" t="s">
        <v>326</v>
      </c>
      <c r="B171" s="6" t="s">
        <v>318</v>
      </c>
      <c r="C171" s="6" t="s">
        <v>327</v>
      </c>
      <c r="D171" s="6" t="s">
        <v>38</v>
      </c>
      <c r="E171" s="7" t="n">
        <v>11.5</v>
      </c>
      <c r="F171" s="7" t="n">
        <v>11.5</v>
      </c>
      <c r="G171" s="6" t="s">
        <v>147</v>
      </c>
      <c r="H171" s="7" t="n">
        <v>10</v>
      </c>
      <c r="I171" s="7" t="n">
        <v>10</v>
      </c>
      <c r="J171" s="7" t="n">
        <v>11</v>
      </c>
      <c r="K171" s="6" t="s">
        <v>40</v>
      </c>
      <c r="L171" s="6" t="s">
        <v>93</v>
      </c>
      <c r="M171" s="8" t="n">
        <f aca="false">IF(H171&lt;E171,(E171-H171)/H171,IF(H171&gt;F171,(F171-H171)/H171,0))</f>
        <v>0.15</v>
      </c>
      <c r="N171" s="9" t="s">
        <v>34</v>
      </c>
      <c r="O171" s="9" t="s">
        <v>34</v>
      </c>
    </row>
    <row r="172" customFormat="false" ht="15" hidden="false" customHeight="false" outlineLevel="0" collapsed="false">
      <c r="A172" s="6" t="s">
        <v>328</v>
      </c>
      <c r="B172" s="6" t="s">
        <v>318</v>
      </c>
      <c r="C172" s="6" t="s">
        <v>329</v>
      </c>
      <c r="D172" s="6" t="s">
        <v>38</v>
      </c>
      <c r="E172" s="7" t="n">
        <v>12.5</v>
      </c>
      <c r="F172" s="7" t="n">
        <v>12.5</v>
      </c>
      <c r="G172" s="6" t="s">
        <v>31</v>
      </c>
      <c r="H172" s="7" t="n">
        <v>11.35</v>
      </c>
      <c r="I172" s="7"/>
      <c r="J172" s="7"/>
      <c r="K172" s="6" t="s">
        <v>32</v>
      </c>
      <c r="L172" s="6" t="s">
        <v>93</v>
      </c>
      <c r="M172" s="8" t="n">
        <f aca="false">IF(H172&lt;E172,(E172-H172)/H172,IF(H172&gt;F172,(F172-H172)/H172,0))</f>
        <v>0.101321585903084</v>
      </c>
      <c r="N172" s="9" t="s">
        <v>34</v>
      </c>
      <c r="O172" s="9" t="s">
        <v>34</v>
      </c>
    </row>
    <row r="173" customFormat="false" ht="15" hidden="false" customHeight="false" outlineLevel="0" collapsed="false">
      <c r="A173" s="6" t="s">
        <v>328</v>
      </c>
      <c r="B173" s="6" t="s">
        <v>318</v>
      </c>
      <c r="C173" s="6" t="s">
        <v>329</v>
      </c>
      <c r="D173" s="6" t="s">
        <v>38</v>
      </c>
      <c r="E173" s="7" t="n">
        <v>12.5</v>
      </c>
      <c r="F173" s="7" t="n">
        <v>12.5</v>
      </c>
      <c r="G173" s="6" t="s">
        <v>147</v>
      </c>
      <c r="H173" s="7" t="n">
        <v>10</v>
      </c>
      <c r="I173" s="7" t="n">
        <v>10</v>
      </c>
      <c r="J173" s="7" t="n">
        <v>11</v>
      </c>
      <c r="K173" s="6" t="s">
        <v>40</v>
      </c>
      <c r="L173" s="6" t="s">
        <v>93</v>
      </c>
      <c r="M173" s="8" t="n">
        <f aca="false">IF(H173&lt;E173,(E173-H173)/H173,IF(H173&gt;F173,(F173-H173)/H173,0))</f>
        <v>0.25</v>
      </c>
      <c r="N173" s="9" t="s">
        <v>34</v>
      </c>
      <c r="O173" s="9" t="s">
        <v>34</v>
      </c>
    </row>
    <row r="174" customFormat="false" ht="15" hidden="false" customHeight="false" outlineLevel="0" collapsed="false">
      <c r="A174" s="6" t="s">
        <v>330</v>
      </c>
      <c r="B174" s="6" t="s">
        <v>331</v>
      </c>
      <c r="C174" s="6" t="s">
        <v>332</v>
      </c>
      <c r="D174" s="6" t="s">
        <v>30</v>
      </c>
      <c r="E174" s="7" t="n">
        <v>11.9</v>
      </c>
      <c r="F174" s="7" t="n">
        <v>11.9</v>
      </c>
      <c r="G174" s="6" t="s">
        <v>31</v>
      </c>
      <c r="H174" s="7" t="n">
        <v>10.8</v>
      </c>
      <c r="I174" s="7"/>
      <c r="J174" s="7"/>
      <c r="K174" s="6" t="s">
        <v>32</v>
      </c>
      <c r="L174" s="6" t="s">
        <v>93</v>
      </c>
      <c r="M174" s="8" t="n">
        <f aca="false">IF(H174&lt;E174,(E174-H174)/H174,IF(H174&gt;F174,(F174-H174)/H174,0))</f>
        <v>0.101851851851852</v>
      </c>
      <c r="N174" s="9" t="s">
        <v>34</v>
      </c>
      <c r="O174" s="9" t="s">
        <v>34</v>
      </c>
    </row>
    <row r="175" customFormat="false" ht="15" hidden="false" customHeight="false" outlineLevel="0" collapsed="false">
      <c r="A175" s="6" t="s">
        <v>333</v>
      </c>
      <c r="B175" s="6" t="s">
        <v>331</v>
      </c>
      <c r="C175" s="6" t="s">
        <v>334</v>
      </c>
      <c r="D175" s="6" t="s">
        <v>30</v>
      </c>
      <c r="E175" s="7" t="n">
        <v>11.9</v>
      </c>
      <c r="F175" s="7" t="n">
        <v>11.9</v>
      </c>
      <c r="G175" s="6" t="s">
        <v>31</v>
      </c>
      <c r="H175" s="7" t="n">
        <v>10.8</v>
      </c>
      <c r="I175" s="7"/>
      <c r="J175" s="7"/>
      <c r="K175" s="6" t="s">
        <v>32</v>
      </c>
      <c r="L175" s="6" t="s">
        <v>93</v>
      </c>
      <c r="M175" s="8" t="n">
        <f aca="false">IF(H175&lt;E175,(E175-H175)/H175,IF(H175&gt;F175,(F175-H175)/H175,0))</f>
        <v>0.101851851851852</v>
      </c>
      <c r="N175" s="9" t="s">
        <v>34</v>
      </c>
      <c r="O175" s="9" t="s">
        <v>34</v>
      </c>
    </row>
    <row r="176" customFormat="false" ht="15" hidden="false" customHeight="false" outlineLevel="0" collapsed="false">
      <c r="A176" s="6" t="s">
        <v>335</v>
      </c>
      <c r="B176" s="6" t="s">
        <v>331</v>
      </c>
      <c r="C176" s="6" t="s">
        <v>336</v>
      </c>
      <c r="D176" s="6" t="s">
        <v>30</v>
      </c>
      <c r="E176" s="7" t="n">
        <v>14.9</v>
      </c>
      <c r="F176" s="7" t="n">
        <v>14.9</v>
      </c>
      <c r="G176" s="6" t="s">
        <v>31</v>
      </c>
      <c r="H176" s="7" t="n">
        <v>10.8</v>
      </c>
      <c r="I176" s="7"/>
      <c r="J176" s="7"/>
      <c r="K176" s="6" t="s">
        <v>32</v>
      </c>
      <c r="L176" s="6" t="s">
        <v>33</v>
      </c>
      <c r="M176" s="8" t="n">
        <f aca="false">IF(H176&lt;E176,(E176-H176)/H176,IF(H176&gt;F176,(F176-H176)/H176,0))</f>
        <v>0.37962962962963</v>
      </c>
      <c r="N176" s="9" t="s">
        <v>34</v>
      </c>
      <c r="O176" s="9" t="s">
        <v>34</v>
      </c>
    </row>
    <row r="177" customFormat="false" ht="15" hidden="false" customHeight="false" outlineLevel="0" collapsed="false">
      <c r="A177" s="6" t="s">
        <v>335</v>
      </c>
      <c r="B177" s="6" t="s">
        <v>331</v>
      </c>
      <c r="C177" s="6" t="s">
        <v>336</v>
      </c>
      <c r="D177" s="6" t="s">
        <v>30</v>
      </c>
      <c r="E177" s="7" t="n">
        <v>14.9</v>
      </c>
      <c r="F177" s="7" t="n">
        <v>14.9</v>
      </c>
      <c r="G177" s="6" t="s">
        <v>39</v>
      </c>
      <c r="H177" s="7" t="n">
        <v>8.13</v>
      </c>
      <c r="I177" s="7"/>
      <c r="J177" s="7"/>
      <c r="K177" s="6" t="s">
        <v>40</v>
      </c>
      <c r="L177" s="6" t="s">
        <v>33</v>
      </c>
      <c r="M177" s="8" t="n">
        <f aca="false">IF(H177&lt;E177,(E177-H177)/H177,IF(H177&gt;F177,(F177-H177)/H177,0))</f>
        <v>0.832718327183272</v>
      </c>
      <c r="N177" s="9" t="s">
        <v>34</v>
      </c>
      <c r="O177" s="9" t="s">
        <v>34</v>
      </c>
    </row>
    <row r="178" customFormat="false" ht="15" hidden="false" customHeight="false" outlineLevel="0" collapsed="false">
      <c r="A178" s="6" t="s">
        <v>337</v>
      </c>
      <c r="B178" s="6" t="s">
        <v>331</v>
      </c>
      <c r="C178" s="6" t="s">
        <v>338</v>
      </c>
      <c r="D178" s="6" t="s">
        <v>52</v>
      </c>
      <c r="E178" s="7" t="n">
        <v>12.5</v>
      </c>
      <c r="F178" s="7" t="n">
        <v>12.5</v>
      </c>
      <c r="G178" s="6" t="s">
        <v>39</v>
      </c>
      <c r="H178" s="7" t="n">
        <v>10.95</v>
      </c>
      <c r="I178" s="7"/>
      <c r="J178" s="7"/>
      <c r="K178" s="6" t="s">
        <v>40</v>
      </c>
      <c r="L178" s="6" t="s">
        <v>93</v>
      </c>
      <c r="M178" s="8" t="n">
        <f aca="false">IF(H178&lt;E178,(E178-H178)/H178,IF(H178&gt;F178,(F178-H178)/H178,0))</f>
        <v>0.141552511415525</v>
      </c>
      <c r="N178" s="9" t="s">
        <v>34</v>
      </c>
      <c r="O178" s="9" t="s">
        <v>34</v>
      </c>
    </row>
    <row r="179" customFormat="false" ht="15" hidden="false" customHeight="false" outlineLevel="0" collapsed="false">
      <c r="A179" s="6" t="s">
        <v>339</v>
      </c>
      <c r="B179" s="6" t="s">
        <v>340</v>
      </c>
      <c r="C179" s="6" t="s">
        <v>341</v>
      </c>
      <c r="D179" s="6" t="s">
        <v>342</v>
      </c>
      <c r="E179" s="7" t="n">
        <v>16.99</v>
      </c>
      <c r="F179" s="7" t="n">
        <v>16.99</v>
      </c>
      <c r="G179" s="6" t="s">
        <v>31</v>
      </c>
      <c r="H179" s="7" t="n">
        <v>19.99</v>
      </c>
      <c r="I179" s="7"/>
      <c r="J179" s="7"/>
      <c r="K179" s="6" t="s">
        <v>32</v>
      </c>
      <c r="L179" s="6" t="s">
        <v>45</v>
      </c>
      <c r="M179" s="8" t="n">
        <f aca="false">IF(H179&lt;E179,(E179-H179)/H179,IF(H179&gt;F179,(F179-H179)/H179,0))</f>
        <v>-0.150075037518759</v>
      </c>
      <c r="N179" s="9" t="s">
        <v>34</v>
      </c>
      <c r="O179" s="9" t="s">
        <v>34</v>
      </c>
    </row>
    <row r="180" customFormat="false" ht="15" hidden="false" customHeight="false" outlineLevel="0" collapsed="false">
      <c r="A180" s="6" t="s">
        <v>343</v>
      </c>
      <c r="B180" s="6" t="s">
        <v>344</v>
      </c>
      <c r="C180" s="6" t="s">
        <v>345</v>
      </c>
      <c r="D180" s="6" t="s">
        <v>52</v>
      </c>
      <c r="E180" s="7" t="n">
        <v>11.5</v>
      </c>
      <c r="F180" s="7" t="n">
        <v>11.5</v>
      </c>
      <c r="G180" s="6" t="s">
        <v>39</v>
      </c>
      <c r="H180" s="7" t="n">
        <v>8.5</v>
      </c>
      <c r="I180" s="7"/>
      <c r="J180" s="7"/>
      <c r="K180" s="6" t="s">
        <v>40</v>
      </c>
      <c r="L180" s="6" t="s">
        <v>93</v>
      </c>
      <c r="M180" s="8" t="n">
        <f aca="false">IF(H180&lt;E180,(E180-H180)/H180,IF(H180&gt;F180,(F180-H180)/H180,0))</f>
        <v>0.352941176470588</v>
      </c>
      <c r="N180" s="9" t="s">
        <v>34</v>
      </c>
      <c r="O180" s="9" t="s">
        <v>34</v>
      </c>
    </row>
    <row r="181" customFormat="false" ht="15" hidden="false" customHeight="false" outlineLevel="0" collapsed="false">
      <c r="A181" s="6" t="s">
        <v>346</v>
      </c>
      <c r="B181" s="6" t="s">
        <v>344</v>
      </c>
      <c r="C181" s="6" t="s">
        <v>347</v>
      </c>
      <c r="D181" s="6" t="s">
        <v>52</v>
      </c>
      <c r="E181" s="7" t="n">
        <v>8.5</v>
      </c>
      <c r="F181" s="7" t="n">
        <v>8.5</v>
      </c>
      <c r="G181" s="6" t="s">
        <v>39</v>
      </c>
      <c r="H181" s="7" t="n">
        <v>8.5</v>
      </c>
      <c r="I181" s="7"/>
      <c r="J181" s="7"/>
      <c r="K181" s="6" t="s">
        <v>40</v>
      </c>
      <c r="L181" s="6" t="s">
        <v>93</v>
      </c>
      <c r="M181" s="8" t="n">
        <f aca="false">IF(H181&lt;E181,(E181-H181)/H181,IF(H181&gt;F181,(F181-H181)/H181,0))</f>
        <v>0</v>
      </c>
      <c r="N181" s="9" t="s">
        <v>34</v>
      </c>
      <c r="O181" s="9" t="s">
        <v>34</v>
      </c>
    </row>
    <row r="182" customFormat="false" ht="15" hidden="false" customHeight="false" outlineLevel="0" collapsed="false">
      <c r="A182" s="6" t="s">
        <v>348</v>
      </c>
      <c r="B182" s="6" t="s">
        <v>344</v>
      </c>
      <c r="C182" s="6" t="s">
        <v>349</v>
      </c>
      <c r="D182" s="6" t="s">
        <v>52</v>
      </c>
      <c r="E182" s="7" t="n">
        <v>7.5</v>
      </c>
      <c r="F182" s="7" t="n">
        <v>7.5</v>
      </c>
      <c r="G182" s="6" t="s">
        <v>39</v>
      </c>
      <c r="H182" s="7" t="n">
        <v>8.5</v>
      </c>
      <c r="I182" s="7"/>
      <c r="J182" s="7"/>
      <c r="K182" s="6" t="s">
        <v>40</v>
      </c>
      <c r="L182" s="6" t="s">
        <v>93</v>
      </c>
      <c r="M182" s="8" t="n">
        <f aca="false">IF(H182&lt;E182,(E182-H182)/H182,IF(H182&gt;F182,(F182-H182)/H182,0))</f>
        <v>-0.117647058823529</v>
      </c>
      <c r="N182" s="9" t="s">
        <v>34</v>
      </c>
      <c r="O182" s="9" t="s">
        <v>34</v>
      </c>
    </row>
    <row r="183" customFormat="false" ht="15" hidden="false" customHeight="false" outlineLevel="0" collapsed="false">
      <c r="A183" s="6" t="s">
        <v>350</v>
      </c>
      <c r="B183" s="6" t="s">
        <v>351</v>
      </c>
      <c r="C183" s="6" t="s">
        <v>352</v>
      </c>
      <c r="D183" s="6" t="s">
        <v>52</v>
      </c>
      <c r="E183" s="7" t="n">
        <v>135</v>
      </c>
      <c r="F183" s="7" t="n">
        <v>155</v>
      </c>
      <c r="G183" s="6" t="s">
        <v>31</v>
      </c>
      <c r="H183" s="7" t="n">
        <v>124.99</v>
      </c>
      <c r="I183" s="7"/>
      <c r="J183" s="7"/>
      <c r="K183" s="6" t="s">
        <v>32</v>
      </c>
      <c r="L183" s="6" t="s">
        <v>33</v>
      </c>
      <c r="M183" s="8" t="n">
        <f aca="false">IF(H183&lt;E183,(E183-H183)/H183,IF(H183&gt;F183,(F183-H183)/H183,0))</f>
        <v>0.0800864069125531</v>
      </c>
      <c r="N183" s="9" t="s">
        <v>34</v>
      </c>
      <c r="O183" s="9" t="s">
        <v>34</v>
      </c>
    </row>
    <row r="184" customFormat="false" ht="15" hidden="false" customHeight="false" outlineLevel="0" collapsed="false">
      <c r="A184" s="6" t="s">
        <v>350</v>
      </c>
      <c r="B184" s="6" t="s">
        <v>351</v>
      </c>
      <c r="C184" s="6" t="s">
        <v>352</v>
      </c>
      <c r="D184" s="6" t="s">
        <v>52</v>
      </c>
      <c r="E184" s="7" t="n">
        <v>135</v>
      </c>
      <c r="F184" s="7" t="n">
        <v>155</v>
      </c>
      <c r="G184" s="6" t="s">
        <v>147</v>
      </c>
      <c r="H184" s="7" t="n">
        <v>129</v>
      </c>
      <c r="I184" s="7" t="n">
        <v>129</v>
      </c>
      <c r="J184" s="7" t="n">
        <v>149</v>
      </c>
      <c r="K184" s="6" t="s">
        <v>32</v>
      </c>
      <c r="L184" s="6" t="s">
        <v>33</v>
      </c>
      <c r="M184" s="8" t="n">
        <f aca="false">IF(H184&lt;E184,(E184-H184)/H184,IF(H184&gt;F184,(F184-H184)/H184,0))</f>
        <v>0.0465116279069767</v>
      </c>
      <c r="N184" s="9" t="s">
        <v>34</v>
      </c>
      <c r="O184" s="9" t="s">
        <v>34</v>
      </c>
    </row>
    <row r="185" customFormat="false" ht="15" hidden="false" customHeight="false" outlineLevel="0" collapsed="false">
      <c r="A185" s="6" t="s">
        <v>353</v>
      </c>
      <c r="B185" s="6" t="s">
        <v>351</v>
      </c>
      <c r="C185" s="6" t="s">
        <v>354</v>
      </c>
      <c r="D185" s="6" t="s">
        <v>52</v>
      </c>
      <c r="E185" s="7" t="n">
        <v>110</v>
      </c>
      <c r="F185" s="7" t="n">
        <v>119</v>
      </c>
      <c r="G185" s="6" t="s">
        <v>31</v>
      </c>
      <c r="H185" s="7" t="n">
        <v>124.99</v>
      </c>
      <c r="I185" s="7"/>
      <c r="J185" s="7"/>
      <c r="K185" s="6" t="s">
        <v>32</v>
      </c>
      <c r="L185" s="6" t="s">
        <v>33</v>
      </c>
      <c r="M185" s="8" t="n">
        <f aca="false">IF(H185&lt;E185,(E185-H185)/H185,IF(H185&gt;F185,(F185-H185)/H185,0))</f>
        <v>-0.0479238339067125</v>
      </c>
      <c r="N185" s="9" t="s">
        <v>34</v>
      </c>
      <c r="O185" s="9" t="s">
        <v>34</v>
      </c>
    </row>
    <row r="186" customFormat="false" ht="15" hidden="false" customHeight="false" outlineLevel="0" collapsed="false">
      <c r="A186" s="6" t="s">
        <v>353</v>
      </c>
      <c r="B186" s="6" t="s">
        <v>351</v>
      </c>
      <c r="C186" s="6" t="s">
        <v>354</v>
      </c>
      <c r="D186" s="6" t="s">
        <v>52</v>
      </c>
      <c r="E186" s="7" t="n">
        <v>110</v>
      </c>
      <c r="F186" s="7" t="n">
        <v>119</v>
      </c>
      <c r="G186" s="6" t="s">
        <v>147</v>
      </c>
      <c r="H186" s="7" t="n">
        <v>99</v>
      </c>
      <c r="I186" s="7" t="n">
        <v>99</v>
      </c>
      <c r="J186" s="7" t="n">
        <v>115</v>
      </c>
      <c r="K186" s="6" t="s">
        <v>32</v>
      </c>
      <c r="L186" s="6" t="s">
        <v>33</v>
      </c>
      <c r="M186" s="8" t="n">
        <f aca="false">IF(H186&lt;E186,(E186-H186)/H186,IF(H186&gt;F186,(F186-H186)/H186,0))</f>
        <v>0.111111111111111</v>
      </c>
      <c r="N186" s="9" t="s">
        <v>34</v>
      </c>
      <c r="O186" s="9" t="s">
        <v>34</v>
      </c>
    </row>
    <row r="187" customFormat="false" ht="15" hidden="false" customHeight="false" outlineLevel="0" collapsed="false">
      <c r="A187" s="6" t="s">
        <v>353</v>
      </c>
      <c r="B187" s="6" t="s">
        <v>351</v>
      </c>
      <c r="C187" s="6" t="s">
        <v>354</v>
      </c>
      <c r="D187" s="6" t="s">
        <v>52</v>
      </c>
      <c r="E187" s="7" t="n">
        <v>110</v>
      </c>
      <c r="F187" s="7" t="n">
        <v>119</v>
      </c>
      <c r="G187" s="6" t="s">
        <v>39</v>
      </c>
      <c r="H187" s="7" t="n">
        <v>88.3</v>
      </c>
      <c r="I187" s="7"/>
      <c r="J187" s="7"/>
      <c r="K187" s="6" t="s">
        <v>32</v>
      </c>
      <c r="L187" s="6" t="s">
        <v>33</v>
      </c>
      <c r="M187" s="8" t="n">
        <f aca="false">IF(H187&lt;E187,(E187-H187)/H187,IF(H187&gt;F187,(F187-H187)/H187,0))</f>
        <v>0.245753114382786</v>
      </c>
      <c r="N187" s="9" t="s">
        <v>34</v>
      </c>
      <c r="O187" s="9" t="s">
        <v>34</v>
      </c>
    </row>
    <row r="188" customFormat="false" ht="15" hidden="false" customHeight="false" outlineLevel="0" collapsed="false">
      <c r="A188" s="6" t="s">
        <v>355</v>
      </c>
      <c r="B188" s="6" t="s">
        <v>356</v>
      </c>
      <c r="C188" s="6" t="s">
        <v>357</v>
      </c>
      <c r="D188" s="6" t="s">
        <v>38</v>
      </c>
      <c r="E188" s="7" t="n">
        <v>79.9</v>
      </c>
      <c r="F188" s="7" t="n">
        <v>79.9</v>
      </c>
      <c r="G188" s="6" t="s">
        <v>31</v>
      </c>
      <c r="H188" s="7" t="n">
        <v>84.99</v>
      </c>
      <c r="I188" s="7"/>
      <c r="J188" s="7"/>
      <c r="K188" s="6" t="s">
        <v>32</v>
      </c>
      <c r="L188" s="6" t="s">
        <v>45</v>
      </c>
      <c r="M188" s="8" t="n">
        <f aca="false">IF(H188&lt;E188,(E188-H188)/H188,IF(H188&gt;F188,(F188-H188)/H188,0))</f>
        <v>-0.0598893987527943</v>
      </c>
      <c r="N188" s="9" t="s">
        <v>34</v>
      </c>
      <c r="O188" s="9" t="s">
        <v>34</v>
      </c>
    </row>
    <row r="189" customFormat="false" ht="15" hidden="false" customHeight="false" outlineLevel="0" collapsed="false">
      <c r="A189" s="6" t="s">
        <v>355</v>
      </c>
      <c r="B189" s="6" t="s">
        <v>356</v>
      </c>
      <c r="C189" s="6" t="s">
        <v>357</v>
      </c>
      <c r="D189" s="6" t="s">
        <v>38</v>
      </c>
      <c r="E189" s="7" t="n">
        <v>79.9</v>
      </c>
      <c r="F189" s="7" t="n">
        <v>79.9</v>
      </c>
      <c r="G189" s="6" t="s">
        <v>226</v>
      </c>
      <c r="H189" s="7" t="n">
        <v>52</v>
      </c>
      <c r="I189" s="7"/>
      <c r="J189" s="7"/>
      <c r="K189" s="6" t="s">
        <v>40</v>
      </c>
      <c r="L189" s="6" t="s">
        <v>93</v>
      </c>
      <c r="M189" s="8" t="n">
        <f aca="false">IF(H189&lt;E189,(E189-H189)/H189,IF(H189&gt;F189,(F189-H189)/H189,0))</f>
        <v>0.536538461538462</v>
      </c>
      <c r="N189" s="9" t="s">
        <v>34</v>
      </c>
      <c r="O189" s="9" t="s">
        <v>34</v>
      </c>
    </row>
    <row r="190" customFormat="false" ht="15" hidden="false" customHeight="false" outlineLevel="0" collapsed="false">
      <c r="A190" s="6" t="s">
        <v>358</v>
      </c>
      <c r="B190" s="6" t="s">
        <v>356</v>
      </c>
      <c r="C190" s="6" t="s">
        <v>359</v>
      </c>
      <c r="D190" s="6" t="s">
        <v>38</v>
      </c>
      <c r="E190" s="7" t="n">
        <v>94.9</v>
      </c>
      <c r="F190" s="7" t="n">
        <v>94.9</v>
      </c>
      <c r="G190" s="6" t="s">
        <v>31</v>
      </c>
      <c r="H190" s="7" t="n">
        <v>32.99</v>
      </c>
      <c r="I190" s="7"/>
      <c r="J190" s="7"/>
      <c r="K190" s="6" t="s">
        <v>32</v>
      </c>
      <c r="L190" s="6" t="s">
        <v>45</v>
      </c>
      <c r="M190" s="8" t="n">
        <f aca="false">IF(H190&lt;E190,(E190-H190)/H190,IF(H190&gt;F190,(F190-H190)/H190,0))</f>
        <v>1.87662928160049</v>
      </c>
      <c r="N190" s="9" t="s">
        <v>34</v>
      </c>
      <c r="O190" s="9" t="s">
        <v>34</v>
      </c>
    </row>
    <row r="191" customFormat="false" ht="15" hidden="false" customHeight="false" outlineLevel="0" collapsed="false">
      <c r="A191" s="6" t="s">
        <v>358</v>
      </c>
      <c r="B191" s="6" t="s">
        <v>356</v>
      </c>
      <c r="C191" s="6" t="s">
        <v>359</v>
      </c>
      <c r="D191" s="6" t="s">
        <v>38</v>
      </c>
      <c r="E191" s="7" t="n">
        <v>94.9</v>
      </c>
      <c r="F191" s="7" t="n">
        <v>94.9</v>
      </c>
      <c r="G191" s="6" t="s">
        <v>226</v>
      </c>
      <c r="H191" s="7" t="n">
        <v>115.2</v>
      </c>
      <c r="I191" s="7"/>
      <c r="J191" s="7"/>
      <c r="K191" s="6" t="s">
        <v>40</v>
      </c>
      <c r="L191" s="6" t="s">
        <v>45</v>
      </c>
      <c r="M191" s="8" t="n">
        <f aca="false">IF(H191&lt;E191,(E191-H191)/H191,IF(H191&gt;F191,(F191-H191)/H191,0))</f>
        <v>-0.176215277777778</v>
      </c>
      <c r="N191" s="9" t="s">
        <v>34</v>
      </c>
      <c r="O191" s="9" t="s">
        <v>34</v>
      </c>
    </row>
    <row r="192" customFormat="false" ht="15" hidden="false" customHeight="false" outlineLevel="0" collapsed="false">
      <c r="A192" s="6" t="s">
        <v>360</v>
      </c>
      <c r="B192" s="6" t="s">
        <v>361</v>
      </c>
      <c r="C192" s="6" t="s">
        <v>362</v>
      </c>
      <c r="D192" s="6" t="s">
        <v>52</v>
      </c>
      <c r="E192" s="7" t="n">
        <v>59</v>
      </c>
      <c r="F192" s="7" t="n">
        <v>65</v>
      </c>
      <c r="G192" s="6" t="s">
        <v>39</v>
      </c>
      <c r="H192" s="7" t="n">
        <v>43.95</v>
      </c>
      <c r="I192" s="7"/>
      <c r="J192" s="7"/>
      <c r="K192" s="6" t="s">
        <v>40</v>
      </c>
      <c r="L192" s="6" t="s">
        <v>33</v>
      </c>
      <c r="M192" s="8" t="n">
        <f aca="false">IF(H192&lt;E192,(E192-H192)/H192,IF(H192&gt;F192,(F192-H192)/H192,0))</f>
        <v>0.342434584755404</v>
      </c>
      <c r="N192" s="9" t="s">
        <v>34</v>
      </c>
      <c r="O192" s="9" t="s">
        <v>34</v>
      </c>
    </row>
    <row r="193" customFormat="false" ht="15" hidden="false" customHeight="false" outlineLevel="0" collapsed="false">
      <c r="A193" s="6" t="s">
        <v>363</v>
      </c>
      <c r="B193" s="6" t="s">
        <v>364</v>
      </c>
      <c r="C193" s="6" t="s">
        <v>365</v>
      </c>
      <c r="D193" s="6" t="s">
        <v>366</v>
      </c>
      <c r="E193" s="7" t="n">
        <v>4.5</v>
      </c>
      <c r="F193" s="7" t="n">
        <v>6.98</v>
      </c>
      <c r="G193" s="6" t="s">
        <v>31</v>
      </c>
      <c r="H193" s="7" t="n">
        <v>6.99</v>
      </c>
      <c r="I193" s="7"/>
      <c r="J193" s="7"/>
      <c r="K193" s="6" t="s">
        <v>32</v>
      </c>
      <c r="L193" s="6" t="s">
        <v>93</v>
      </c>
      <c r="M193" s="8" t="n">
        <f aca="false">IF(H193&lt;E193,(E193-H193)/H193,IF(H193&gt;F193,(F193-H193)/H193,0))</f>
        <v>-0.00143061516452071</v>
      </c>
      <c r="N193" s="9" t="s">
        <v>34</v>
      </c>
      <c r="O193" s="9" t="s">
        <v>34</v>
      </c>
    </row>
    <row r="194" customFormat="false" ht="15" hidden="false" customHeight="false" outlineLevel="0" collapsed="false">
      <c r="A194" s="6" t="s">
        <v>363</v>
      </c>
      <c r="B194" s="6" t="s">
        <v>364</v>
      </c>
      <c r="C194" s="6" t="s">
        <v>365</v>
      </c>
      <c r="D194" s="6" t="s">
        <v>366</v>
      </c>
      <c r="E194" s="7" t="n">
        <v>4.5</v>
      </c>
      <c r="F194" s="7" t="n">
        <v>6.98</v>
      </c>
      <c r="G194" s="6" t="s">
        <v>226</v>
      </c>
      <c r="H194" s="7" t="n">
        <v>6.39</v>
      </c>
      <c r="I194" s="7"/>
      <c r="J194" s="7"/>
      <c r="K194" s="6" t="s">
        <v>40</v>
      </c>
      <c r="L194" s="6" t="s">
        <v>93</v>
      </c>
      <c r="M194" s="8" t="n">
        <f aca="false">IF(H194&lt;E194,(E194-H194)/H194,IF(H194&gt;F194,(F194-H194)/H194,0))</f>
        <v>0</v>
      </c>
      <c r="N194" s="9" t="s">
        <v>34</v>
      </c>
      <c r="O194" s="9" t="s">
        <v>34</v>
      </c>
    </row>
    <row r="195" customFormat="false" ht="15" hidden="false" customHeight="false" outlineLevel="0" collapsed="false">
      <c r="A195" s="6" t="s">
        <v>367</v>
      </c>
      <c r="B195" s="6" t="s">
        <v>364</v>
      </c>
      <c r="C195" s="6" t="s">
        <v>368</v>
      </c>
      <c r="D195" s="6" t="s">
        <v>366</v>
      </c>
      <c r="E195" s="7" t="n">
        <v>6.98</v>
      </c>
      <c r="F195" s="7" t="n">
        <v>6.98</v>
      </c>
      <c r="G195" s="6" t="s">
        <v>31</v>
      </c>
      <c r="H195" s="7" t="n">
        <v>7.99</v>
      </c>
      <c r="I195" s="7"/>
      <c r="J195" s="7"/>
      <c r="K195" s="6" t="s">
        <v>32</v>
      </c>
      <c r="L195" s="6" t="s">
        <v>93</v>
      </c>
      <c r="M195" s="8" t="n">
        <f aca="false">IF(H195&lt;E195,(E195-H195)/H195,IF(H195&gt;F195,(F195-H195)/H195,0))</f>
        <v>-0.126408010012516</v>
      </c>
      <c r="N195" s="9" t="s">
        <v>34</v>
      </c>
      <c r="O195" s="9" t="s">
        <v>34</v>
      </c>
    </row>
    <row r="196" customFormat="false" ht="15" hidden="false" customHeight="false" outlineLevel="0" collapsed="false">
      <c r="A196" s="6" t="s">
        <v>367</v>
      </c>
      <c r="B196" s="6" t="s">
        <v>364</v>
      </c>
      <c r="C196" s="6" t="s">
        <v>368</v>
      </c>
      <c r="D196" s="6" t="s">
        <v>366</v>
      </c>
      <c r="E196" s="7" t="n">
        <v>6.98</v>
      </c>
      <c r="F196" s="7" t="n">
        <v>6.98</v>
      </c>
      <c r="G196" s="6" t="s">
        <v>226</v>
      </c>
      <c r="H196" s="7" t="n">
        <v>4.8</v>
      </c>
      <c r="I196" s="7"/>
      <c r="J196" s="7"/>
      <c r="K196" s="6" t="s">
        <v>40</v>
      </c>
      <c r="L196" s="6" t="s">
        <v>94</v>
      </c>
      <c r="M196" s="8" t="n">
        <f aca="false">IF(H196&lt;E196,(E196-H196)/H196,IF(H196&gt;F196,(F196-H196)/H196,0))</f>
        <v>0.454166666666667</v>
      </c>
      <c r="N196" s="9" t="s">
        <v>34</v>
      </c>
      <c r="O196" s="9" t="s">
        <v>34</v>
      </c>
    </row>
    <row r="197" customFormat="false" ht="15" hidden="false" customHeight="false" outlineLevel="0" collapsed="false">
      <c r="A197" s="6" t="s">
        <v>369</v>
      </c>
      <c r="B197" s="6" t="s">
        <v>364</v>
      </c>
      <c r="C197" s="6" t="s">
        <v>370</v>
      </c>
      <c r="D197" s="6" t="s">
        <v>366</v>
      </c>
      <c r="E197" s="7" t="n">
        <v>8.9</v>
      </c>
      <c r="F197" s="7" t="n">
        <v>8.9</v>
      </c>
      <c r="G197" s="6" t="s">
        <v>31</v>
      </c>
      <c r="H197" s="7" t="n">
        <v>8.35</v>
      </c>
      <c r="I197" s="7"/>
      <c r="J197" s="7"/>
      <c r="K197" s="6" t="s">
        <v>32</v>
      </c>
      <c r="L197" s="6" t="s">
        <v>93</v>
      </c>
      <c r="M197" s="8" t="n">
        <f aca="false">IF(H197&lt;E197,(E197-H197)/H197,IF(H197&gt;F197,(F197-H197)/H197,0))</f>
        <v>0.065868263473054</v>
      </c>
      <c r="N197" s="9" t="s">
        <v>34</v>
      </c>
      <c r="O197" s="9" t="s">
        <v>34</v>
      </c>
    </row>
    <row r="198" customFormat="false" ht="15" hidden="false" customHeight="false" outlineLevel="0" collapsed="false">
      <c r="A198" s="6" t="s">
        <v>369</v>
      </c>
      <c r="B198" s="6" t="s">
        <v>364</v>
      </c>
      <c r="C198" s="6" t="s">
        <v>370</v>
      </c>
      <c r="D198" s="6" t="s">
        <v>366</v>
      </c>
      <c r="E198" s="7" t="n">
        <v>8.9</v>
      </c>
      <c r="F198" s="7" t="n">
        <v>8.9</v>
      </c>
      <c r="G198" s="6" t="s">
        <v>39</v>
      </c>
      <c r="H198" s="7" t="n">
        <v>3.49</v>
      </c>
      <c r="I198" s="7"/>
      <c r="J198" s="7"/>
      <c r="K198" s="6" t="s">
        <v>40</v>
      </c>
      <c r="L198" s="6" t="s">
        <v>94</v>
      </c>
      <c r="M198" s="8" t="n">
        <f aca="false">IF(H198&lt;E198,(E198-H198)/H198,IF(H198&gt;F198,(F198-H198)/H198,0))</f>
        <v>1.55014326647564</v>
      </c>
      <c r="N198" s="9" t="s">
        <v>34</v>
      </c>
      <c r="O198" s="9" t="s">
        <v>34</v>
      </c>
    </row>
    <row r="199" customFormat="false" ht="15" hidden="false" customHeight="false" outlineLevel="0" collapsed="false">
      <c r="A199" s="6" t="s">
        <v>371</v>
      </c>
      <c r="B199" s="6" t="s">
        <v>364</v>
      </c>
      <c r="C199" s="6" t="s">
        <v>372</v>
      </c>
      <c r="D199" s="6" t="s">
        <v>294</v>
      </c>
      <c r="E199" s="7" t="n">
        <v>6.5</v>
      </c>
      <c r="F199" s="7" t="n">
        <v>6.5</v>
      </c>
      <c r="G199" s="6" t="s">
        <v>31</v>
      </c>
      <c r="H199" s="7" t="n">
        <v>5.99</v>
      </c>
      <c r="I199" s="7"/>
      <c r="J199" s="7"/>
      <c r="K199" s="6" t="s">
        <v>32</v>
      </c>
      <c r="L199" s="6" t="s">
        <v>93</v>
      </c>
      <c r="M199" s="8" t="n">
        <f aca="false">IF(H199&lt;E199,(E199-H199)/H199,IF(H199&gt;F199,(F199-H199)/H199,0))</f>
        <v>0.0851419031719532</v>
      </c>
      <c r="N199" s="9" t="s">
        <v>34</v>
      </c>
      <c r="O199" s="9" t="s">
        <v>34</v>
      </c>
    </row>
    <row r="200" customFormat="false" ht="15" hidden="false" customHeight="false" outlineLevel="0" collapsed="false">
      <c r="A200" s="6" t="s">
        <v>371</v>
      </c>
      <c r="B200" s="6" t="s">
        <v>364</v>
      </c>
      <c r="C200" s="6" t="s">
        <v>372</v>
      </c>
      <c r="D200" s="6" t="s">
        <v>294</v>
      </c>
      <c r="E200" s="7" t="n">
        <v>6.5</v>
      </c>
      <c r="F200" s="7" t="n">
        <v>6.5</v>
      </c>
      <c r="G200" s="6" t="s">
        <v>147</v>
      </c>
      <c r="H200" s="7" t="n">
        <v>7.02</v>
      </c>
      <c r="I200" s="7"/>
      <c r="J200" s="7"/>
      <c r="K200" s="6" t="s">
        <v>32</v>
      </c>
      <c r="L200" s="6" t="s">
        <v>93</v>
      </c>
      <c r="M200" s="8" t="n">
        <f aca="false">IF(H200&lt;E200,(E200-H200)/H200,IF(H200&gt;F200,(F200-H200)/H200,0))</f>
        <v>-0.074074074074074</v>
      </c>
      <c r="N200" s="9" t="s">
        <v>34</v>
      </c>
      <c r="O200" s="9" t="s">
        <v>34</v>
      </c>
    </row>
    <row r="201" customFormat="false" ht="15" hidden="false" customHeight="false" outlineLevel="0" collapsed="false">
      <c r="A201" s="6" t="s">
        <v>373</v>
      </c>
      <c r="B201" s="6" t="s">
        <v>364</v>
      </c>
      <c r="C201" s="6" t="s">
        <v>374</v>
      </c>
      <c r="D201" s="6" t="s">
        <v>375</v>
      </c>
      <c r="E201" s="7" t="n">
        <v>17.69</v>
      </c>
      <c r="F201" s="7" t="n">
        <v>17.69</v>
      </c>
      <c r="G201" s="6" t="s">
        <v>31</v>
      </c>
      <c r="H201" s="7" t="n">
        <v>16.2</v>
      </c>
      <c r="I201" s="7"/>
      <c r="J201" s="7"/>
      <c r="K201" s="6" t="s">
        <v>32</v>
      </c>
      <c r="L201" s="6" t="s">
        <v>45</v>
      </c>
      <c r="M201" s="8" t="n">
        <f aca="false">IF(H201&lt;E201,(E201-H201)/H201,IF(H201&gt;F201,(F201-H201)/H201,0))</f>
        <v>0.0919753086419754</v>
      </c>
      <c r="N201" s="9" t="s">
        <v>34</v>
      </c>
      <c r="O201" s="9" t="s">
        <v>34</v>
      </c>
    </row>
    <row r="202" customFormat="false" ht="15" hidden="false" customHeight="false" outlineLevel="0" collapsed="false">
      <c r="A202" s="6" t="s">
        <v>373</v>
      </c>
      <c r="B202" s="6" t="s">
        <v>364</v>
      </c>
      <c r="C202" s="6" t="s">
        <v>374</v>
      </c>
      <c r="D202" s="6" t="s">
        <v>375</v>
      </c>
      <c r="E202" s="7" t="n">
        <v>17.69</v>
      </c>
      <c r="F202" s="7" t="n">
        <v>17.69</v>
      </c>
      <c r="G202" s="6" t="s">
        <v>147</v>
      </c>
      <c r="H202" s="7" t="n">
        <v>15.1</v>
      </c>
      <c r="I202" s="7"/>
      <c r="J202" s="7"/>
      <c r="K202" s="6" t="s">
        <v>40</v>
      </c>
      <c r="L202" s="6" t="s">
        <v>93</v>
      </c>
      <c r="M202" s="8" t="n">
        <f aca="false">IF(H202&lt;E202,(E202-H202)/H202,IF(H202&gt;F202,(F202-H202)/H202,0))</f>
        <v>0.171523178807947</v>
      </c>
      <c r="N202" s="9" t="s">
        <v>34</v>
      </c>
      <c r="O202" s="9" t="s">
        <v>34</v>
      </c>
    </row>
    <row r="203" customFormat="false" ht="15" hidden="false" customHeight="false" outlineLevel="0" collapsed="false">
      <c r="A203" s="6" t="s">
        <v>373</v>
      </c>
      <c r="B203" s="6" t="s">
        <v>364</v>
      </c>
      <c r="C203" s="6" t="s">
        <v>374</v>
      </c>
      <c r="D203" s="6" t="s">
        <v>375</v>
      </c>
      <c r="E203" s="7" t="n">
        <v>17.69</v>
      </c>
      <c r="F203" s="7" t="n">
        <v>17.69</v>
      </c>
      <c r="G203" s="6" t="s">
        <v>39</v>
      </c>
      <c r="H203" s="7" t="n">
        <v>18.95</v>
      </c>
      <c r="I203" s="7"/>
      <c r="J203" s="7"/>
      <c r="K203" s="6" t="s">
        <v>32</v>
      </c>
      <c r="L203" s="6" t="s">
        <v>93</v>
      </c>
      <c r="M203" s="8" t="n">
        <f aca="false">IF(H203&lt;E203,(E203-H203)/H203,IF(H203&gt;F203,(F203-H203)/H203,0))</f>
        <v>-0.0664907651715039</v>
      </c>
      <c r="N203" s="9" t="s">
        <v>34</v>
      </c>
      <c r="O203" s="9" t="s">
        <v>34</v>
      </c>
    </row>
    <row r="204" customFormat="false" ht="15" hidden="false" customHeight="false" outlineLevel="0" collapsed="false">
      <c r="A204" s="6" t="s">
        <v>373</v>
      </c>
      <c r="B204" s="6" t="s">
        <v>364</v>
      </c>
      <c r="C204" s="6" t="s">
        <v>374</v>
      </c>
      <c r="D204" s="6" t="s">
        <v>375</v>
      </c>
      <c r="E204" s="7" t="n">
        <v>17.69</v>
      </c>
      <c r="F204" s="7" t="n">
        <v>17.69</v>
      </c>
      <c r="G204" s="6" t="s">
        <v>226</v>
      </c>
      <c r="H204" s="7" t="n">
        <v>16.8</v>
      </c>
      <c r="I204" s="7"/>
      <c r="J204" s="7"/>
      <c r="K204" s="6" t="s">
        <v>40</v>
      </c>
      <c r="L204" s="6" t="s">
        <v>93</v>
      </c>
      <c r="M204" s="8" t="n">
        <f aca="false">IF(H204&lt;E204,(E204-H204)/H204,IF(H204&gt;F204,(F204-H204)/H204,0))</f>
        <v>0.0529761904761905</v>
      </c>
      <c r="N204" s="9" t="s">
        <v>34</v>
      </c>
      <c r="O204" s="9" t="s">
        <v>34</v>
      </c>
    </row>
    <row r="205" customFormat="false" ht="15" hidden="false" customHeight="false" outlineLevel="0" collapsed="false">
      <c r="A205" s="6" t="s">
        <v>376</v>
      </c>
      <c r="B205" s="6" t="s">
        <v>364</v>
      </c>
      <c r="C205" s="6" t="s">
        <v>377</v>
      </c>
      <c r="D205" s="6" t="s">
        <v>52</v>
      </c>
      <c r="E205" s="7" t="n">
        <v>18.88</v>
      </c>
      <c r="F205" s="7" t="n">
        <v>18.88</v>
      </c>
      <c r="G205" s="6" t="s">
        <v>39</v>
      </c>
      <c r="H205" s="7" t="n">
        <v>18.95</v>
      </c>
      <c r="I205" s="7"/>
      <c r="J205" s="7"/>
      <c r="K205" s="6" t="s">
        <v>32</v>
      </c>
      <c r="L205" s="6" t="s">
        <v>93</v>
      </c>
      <c r="M205" s="8" t="n">
        <f aca="false">IF(H205&lt;E205,(E205-H205)/H205,IF(H205&gt;F205,(F205-H205)/H205,0))</f>
        <v>-0.0036939313984169</v>
      </c>
      <c r="N205" s="9" t="s">
        <v>34</v>
      </c>
      <c r="O205" s="9" t="s">
        <v>34</v>
      </c>
    </row>
    <row r="206" customFormat="false" ht="15" hidden="false" customHeight="false" outlineLevel="0" collapsed="false">
      <c r="A206" s="6" t="s">
        <v>378</v>
      </c>
      <c r="B206" s="6" t="s">
        <v>364</v>
      </c>
      <c r="C206" s="6" t="s">
        <v>379</v>
      </c>
      <c r="D206" s="6" t="s">
        <v>38</v>
      </c>
      <c r="E206" s="7" t="n">
        <v>18.95</v>
      </c>
      <c r="F206" s="7" t="n">
        <v>18.95</v>
      </c>
      <c r="G206" s="6" t="s">
        <v>31</v>
      </c>
      <c r="H206" s="7" t="n">
        <v>16.2</v>
      </c>
      <c r="I206" s="7"/>
      <c r="J206" s="7"/>
      <c r="K206" s="6" t="s">
        <v>32</v>
      </c>
      <c r="L206" s="6" t="s">
        <v>93</v>
      </c>
      <c r="M206" s="8" t="n">
        <f aca="false">IF(H206&lt;E206,(E206-H206)/H206,IF(H206&gt;F206,(F206-H206)/H206,0))</f>
        <v>0.169753086419753</v>
      </c>
      <c r="N206" s="9" t="s">
        <v>34</v>
      </c>
      <c r="O206" s="9" t="s">
        <v>34</v>
      </c>
    </row>
    <row r="207" customFormat="false" ht="15" hidden="false" customHeight="false" outlineLevel="0" collapsed="false">
      <c r="A207" s="6" t="s">
        <v>378</v>
      </c>
      <c r="B207" s="6" t="s">
        <v>364</v>
      </c>
      <c r="C207" s="6" t="s">
        <v>379</v>
      </c>
      <c r="D207" s="6" t="s">
        <v>38</v>
      </c>
      <c r="E207" s="7" t="n">
        <v>18.95</v>
      </c>
      <c r="F207" s="7" t="n">
        <v>18.95</v>
      </c>
      <c r="G207" s="6" t="s">
        <v>39</v>
      </c>
      <c r="H207" s="7" t="n">
        <v>18.95</v>
      </c>
      <c r="I207" s="7"/>
      <c r="J207" s="7"/>
      <c r="K207" s="6" t="s">
        <v>32</v>
      </c>
      <c r="L207" s="6" t="s">
        <v>93</v>
      </c>
      <c r="M207" s="8" t="n">
        <f aca="false">IF(H207&lt;E207,(E207-H207)/H207,IF(H207&gt;F207,(F207-H207)/H207,0))</f>
        <v>0</v>
      </c>
      <c r="N207" s="9" t="s">
        <v>34</v>
      </c>
      <c r="O207" s="9" t="s">
        <v>34</v>
      </c>
    </row>
    <row r="208" customFormat="false" ht="15" hidden="false" customHeight="false" outlineLevel="0" collapsed="false">
      <c r="A208" s="6" t="s">
        <v>378</v>
      </c>
      <c r="B208" s="6" t="s">
        <v>364</v>
      </c>
      <c r="C208" s="6" t="s">
        <v>379</v>
      </c>
      <c r="D208" s="6" t="s">
        <v>38</v>
      </c>
      <c r="E208" s="7" t="n">
        <v>18.95</v>
      </c>
      <c r="F208" s="7" t="n">
        <v>18.95</v>
      </c>
      <c r="G208" s="6" t="s">
        <v>226</v>
      </c>
      <c r="H208" s="7" t="n">
        <v>17.25</v>
      </c>
      <c r="I208" s="7"/>
      <c r="J208" s="7"/>
      <c r="K208" s="6" t="s">
        <v>40</v>
      </c>
      <c r="L208" s="6" t="s">
        <v>45</v>
      </c>
      <c r="M208" s="8" t="n">
        <f aca="false">IF(H208&lt;E208,(E208-H208)/H208,IF(H208&gt;F208,(F208-H208)/H208,0))</f>
        <v>0.0985507246376811</v>
      </c>
      <c r="N208" s="9" t="s">
        <v>34</v>
      </c>
      <c r="O208" s="9" t="s">
        <v>34</v>
      </c>
    </row>
    <row r="209" customFormat="false" ht="15" hidden="false" customHeight="false" outlineLevel="0" collapsed="false">
      <c r="A209" s="6" t="s">
        <v>380</v>
      </c>
      <c r="B209" s="6" t="s">
        <v>364</v>
      </c>
      <c r="C209" s="6" t="s">
        <v>381</v>
      </c>
      <c r="D209" s="6" t="s">
        <v>52</v>
      </c>
      <c r="E209" s="7" t="n">
        <v>18.85</v>
      </c>
      <c r="F209" s="7" t="n">
        <v>18.85</v>
      </c>
      <c r="G209" s="6" t="s">
        <v>31</v>
      </c>
      <c r="H209" s="7" t="n">
        <v>18.6</v>
      </c>
      <c r="I209" s="7"/>
      <c r="J209" s="7"/>
      <c r="K209" s="6" t="s">
        <v>32</v>
      </c>
      <c r="L209" s="6" t="s">
        <v>45</v>
      </c>
      <c r="M209" s="8" t="n">
        <f aca="false">IF(H209&lt;E209,(E209-H209)/H209,IF(H209&gt;F209,(F209-H209)/H209,0))</f>
        <v>0.0134408602150538</v>
      </c>
      <c r="N209" s="9" t="s">
        <v>34</v>
      </c>
      <c r="O209" s="9" t="s">
        <v>34</v>
      </c>
    </row>
    <row r="210" customFormat="false" ht="15" hidden="false" customHeight="false" outlineLevel="0" collapsed="false">
      <c r="A210" s="6" t="s">
        <v>380</v>
      </c>
      <c r="B210" s="6" t="s">
        <v>364</v>
      </c>
      <c r="C210" s="6" t="s">
        <v>381</v>
      </c>
      <c r="D210" s="6" t="s">
        <v>52</v>
      </c>
      <c r="E210" s="7" t="n">
        <v>18.85</v>
      </c>
      <c r="F210" s="7" t="n">
        <v>18.85</v>
      </c>
      <c r="G210" s="6" t="s">
        <v>226</v>
      </c>
      <c r="H210" s="7" t="n">
        <v>17.25</v>
      </c>
      <c r="I210" s="7"/>
      <c r="J210" s="7"/>
      <c r="K210" s="6" t="s">
        <v>40</v>
      </c>
      <c r="L210" s="6" t="s">
        <v>93</v>
      </c>
      <c r="M210" s="8" t="n">
        <f aca="false">IF(H210&lt;E210,(E210-H210)/H210,IF(H210&gt;F210,(F210-H210)/H210,0))</f>
        <v>0.0927536231884059</v>
      </c>
      <c r="N210" s="9" t="s">
        <v>34</v>
      </c>
      <c r="O210" s="9" t="s">
        <v>34</v>
      </c>
    </row>
    <row r="211" customFormat="false" ht="15" hidden="false" customHeight="false" outlineLevel="0" collapsed="false">
      <c r="A211" s="6" t="s">
        <v>382</v>
      </c>
      <c r="B211" s="6" t="s">
        <v>364</v>
      </c>
      <c r="C211" s="6" t="s">
        <v>383</v>
      </c>
      <c r="D211" s="6" t="s">
        <v>38</v>
      </c>
      <c r="E211" s="7" t="n">
        <v>17.98</v>
      </c>
      <c r="F211" s="7" t="n">
        <v>17.98</v>
      </c>
      <c r="G211" s="6" t="s">
        <v>39</v>
      </c>
      <c r="H211" s="7" t="n">
        <v>18.95</v>
      </c>
      <c r="I211" s="7"/>
      <c r="J211" s="7"/>
      <c r="K211" s="6" t="s">
        <v>32</v>
      </c>
      <c r="L211" s="6" t="s">
        <v>93</v>
      </c>
      <c r="M211" s="8" t="n">
        <f aca="false">IF(H211&lt;E211,(E211-H211)/H211,IF(H211&gt;F211,(F211-H211)/H211,0))</f>
        <v>-0.0511873350923482</v>
      </c>
      <c r="N211" s="9" t="s">
        <v>34</v>
      </c>
      <c r="O211" s="9" t="s">
        <v>34</v>
      </c>
    </row>
    <row r="212" customFormat="false" ht="15" hidden="false" customHeight="false" outlineLevel="0" collapsed="false">
      <c r="A212" s="6" t="s">
        <v>384</v>
      </c>
      <c r="B212" s="6" t="s">
        <v>364</v>
      </c>
      <c r="C212" s="6" t="s">
        <v>385</v>
      </c>
      <c r="D212" s="6" t="s">
        <v>386</v>
      </c>
      <c r="E212" s="7" t="n">
        <v>359.5</v>
      </c>
      <c r="F212" s="7" t="n">
        <v>499.9</v>
      </c>
      <c r="G212" s="6" t="s">
        <v>31</v>
      </c>
      <c r="H212" s="7" t="n">
        <v>463.99</v>
      </c>
      <c r="I212" s="7"/>
      <c r="J212" s="7"/>
      <c r="K212" s="6" t="s">
        <v>32</v>
      </c>
      <c r="L212" s="6" t="s">
        <v>33</v>
      </c>
      <c r="M212" s="8" t="n">
        <f aca="false">IF(H212&lt;E212,(E212-H212)/H212,IF(H212&gt;F212,(F212-H212)/H212,0))</f>
        <v>0</v>
      </c>
      <c r="N212" s="9" t="s">
        <v>34</v>
      </c>
      <c r="O212" s="9" t="s">
        <v>34</v>
      </c>
    </row>
    <row r="213" customFormat="false" ht="15" hidden="false" customHeight="false" outlineLevel="0" collapsed="false">
      <c r="A213" s="6" t="s">
        <v>387</v>
      </c>
      <c r="B213" s="6" t="s">
        <v>364</v>
      </c>
      <c r="C213" s="6" t="s">
        <v>388</v>
      </c>
      <c r="D213" s="6" t="s">
        <v>52</v>
      </c>
      <c r="E213" s="7" t="n">
        <v>249</v>
      </c>
      <c r="F213" s="7" t="n">
        <v>255</v>
      </c>
      <c r="G213" s="6" t="s">
        <v>31</v>
      </c>
      <c r="H213" s="7" t="n">
        <v>199.99</v>
      </c>
      <c r="I213" s="7"/>
      <c r="J213" s="7"/>
      <c r="K213" s="6" t="s">
        <v>32</v>
      </c>
      <c r="L213" s="6" t="s">
        <v>33</v>
      </c>
      <c r="M213" s="8" t="n">
        <f aca="false">IF(H213&lt;E213,(E213-H213)/H213,IF(H213&gt;F213,(F213-H213)/H213,0))</f>
        <v>0.245062253112656</v>
      </c>
      <c r="N213" s="9" t="s">
        <v>34</v>
      </c>
      <c r="O213" s="9" t="s">
        <v>34</v>
      </c>
    </row>
    <row r="214" customFormat="false" ht="15" hidden="false" customHeight="false" outlineLevel="0" collapsed="false">
      <c r="A214" s="6" t="s">
        <v>389</v>
      </c>
      <c r="B214" s="6" t="s">
        <v>364</v>
      </c>
      <c r="C214" s="6" t="s">
        <v>390</v>
      </c>
      <c r="D214" s="6" t="s">
        <v>391</v>
      </c>
      <c r="E214" s="7" t="n">
        <v>13</v>
      </c>
      <c r="F214" s="7" t="n">
        <v>20.8</v>
      </c>
      <c r="G214" s="6" t="s">
        <v>31</v>
      </c>
      <c r="H214" s="7" t="n">
        <v>12.99</v>
      </c>
      <c r="I214" s="7"/>
      <c r="J214" s="7"/>
      <c r="K214" s="6" t="s">
        <v>40</v>
      </c>
      <c r="L214" s="6" t="s">
        <v>93</v>
      </c>
      <c r="M214" s="8" t="n">
        <f aca="false">IF(H214&lt;E214,(E214-H214)/H214,IF(H214&gt;F214,(F214-H214)/H214,0))</f>
        <v>0.000769822940723617</v>
      </c>
      <c r="N214" s="9" t="s">
        <v>34</v>
      </c>
      <c r="O214" s="9" t="s">
        <v>34</v>
      </c>
    </row>
    <row r="215" customFormat="false" ht="15" hidden="false" customHeight="false" outlineLevel="0" collapsed="false">
      <c r="A215" s="6" t="s">
        <v>389</v>
      </c>
      <c r="B215" s="6" t="s">
        <v>364</v>
      </c>
      <c r="C215" s="6" t="s">
        <v>390</v>
      </c>
      <c r="D215" s="6" t="s">
        <v>391</v>
      </c>
      <c r="E215" s="7" t="n">
        <v>13</v>
      </c>
      <c r="F215" s="7" t="n">
        <v>20.8</v>
      </c>
      <c r="G215" s="6" t="s">
        <v>147</v>
      </c>
      <c r="H215" s="7" t="n">
        <v>10.8</v>
      </c>
      <c r="I215" s="7" t="n">
        <v>10.8</v>
      </c>
      <c r="J215" s="7" t="n">
        <v>16.2</v>
      </c>
      <c r="K215" s="6" t="s">
        <v>32</v>
      </c>
      <c r="L215" s="6" t="s">
        <v>93</v>
      </c>
      <c r="M215" s="8" t="n">
        <f aca="false">IF(H215&lt;E215,(E215-H215)/H215,IF(H215&gt;F215,(F215-H215)/H215,0))</f>
        <v>0.203703703703704</v>
      </c>
      <c r="N215" s="9" t="s">
        <v>34</v>
      </c>
      <c r="O215" s="9" t="s">
        <v>34</v>
      </c>
    </row>
    <row r="216" customFormat="false" ht="15" hidden="false" customHeight="false" outlineLevel="0" collapsed="false">
      <c r="A216" s="6" t="s">
        <v>392</v>
      </c>
      <c r="B216" s="6" t="s">
        <v>364</v>
      </c>
      <c r="C216" s="6" t="s">
        <v>393</v>
      </c>
      <c r="D216" s="6" t="s">
        <v>366</v>
      </c>
      <c r="E216" s="7" t="n">
        <v>6.79</v>
      </c>
      <c r="F216" s="7" t="n">
        <v>6.79</v>
      </c>
      <c r="G216" s="6" t="s">
        <v>31</v>
      </c>
      <c r="H216" s="7" t="n">
        <v>5.99</v>
      </c>
      <c r="I216" s="7"/>
      <c r="J216" s="7"/>
      <c r="K216" s="6" t="s">
        <v>32</v>
      </c>
      <c r="L216" s="6" t="s">
        <v>93</v>
      </c>
      <c r="M216" s="8" t="n">
        <f aca="false">IF(H216&lt;E216,(E216-H216)/H216,IF(H216&gt;F216,(F216-H216)/H216,0))</f>
        <v>0.13355592654424</v>
      </c>
      <c r="N216" s="9" t="s">
        <v>34</v>
      </c>
      <c r="O216" s="9" t="s">
        <v>34</v>
      </c>
    </row>
    <row r="217" customFormat="false" ht="15" hidden="false" customHeight="false" outlineLevel="0" collapsed="false">
      <c r="A217" s="6" t="s">
        <v>392</v>
      </c>
      <c r="B217" s="6" t="s">
        <v>364</v>
      </c>
      <c r="C217" s="6" t="s">
        <v>393</v>
      </c>
      <c r="D217" s="6" t="s">
        <v>366</v>
      </c>
      <c r="E217" s="7" t="n">
        <v>6.79</v>
      </c>
      <c r="F217" s="7" t="n">
        <v>6.79</v>
      </c>
      <c r="G217" s="6" t="s">
        <v>147</v>
      </c>
      <c r="H217" s="7" t="n">
        <v>7.55</v>
      </c>
      <c r="I217" s="7"/>
      <c r="J217" s="7"/>
      <c r="K217" s="6" t="s">
        <v>32</v>
      </c>
      <c r="L217" s="6" t="s">
        <v>45</v>
      </c>
      <c r="M217" s="8" t="n">
        <f aca="false">IF(H217&lt;E217,(E217-H217)/H217,IF(H217&gt;F217,(F217-H217)/H217,0))</f>
        <v>-0.100662251655629</v>
      </c>
      <c r="N217" s="9" t="s">
        <v>34</v>
      </c>
      <c r="O217" s="9" t="s">
        <v>34</v>
      </c>
    </row>
    <row r="218" customFormat="false" ht="15" hidden="false" customHeight="false" outlineLevel="0" collapsed="false">
      <c r="A218" s="6" t="s">
        <v>392</v>
      </c>
      <c r="B218" s="6" t="s">
        <v>364</v>
      </c>
      <c r="C218" s="6" t="s">
        <v>393</v>
      </c>
      <c r="D218" s="6" t="s">
        <v>366</v>
      </c>
      <c r="E218" s="7" t="n">
        <v>6.79</v>
      </c>
      <c r="F218" s="7" t="n">
        <v>6.79</v>
      </c>
      <c r="G218" s="6" t="s">
        <v>226</v>
      </c>
      <c r="H218" s="7" t="n">
        <v>6</v>
      </c>
      <c r="I218" s="7"/>
      <c r="J218" s="7"/>
      <c r="K218" s="6" t="s">
        <v>40</v>
      </c>
      <c r="L218" s="6" t="s">
        <v>93</v>
      </c>
      <c r="M218" s="8" t="n">
        <f aca="false">IF(H218&lt;E218,(E218-H218)/H218,IF(H218&gt;F218,(F218-H218)/H218,0))</f>
        <v>0.131666666666667</v>
      </c>
      <c r="N218" s="9" t="s">
        <v>34</v>
      </c>
      <c r="O218" s="9" t="s">
        <v>34</v>
      </c>
    </row>
    <row r="219" customFormat="false" ht="15" hidden="false" customHeight="false" outlineLevel="0" collapsed="false">
      <c r="A219" s="6" t="s">
        <v>394</v>
      </c>
      <c r="B219" s="6" t="s">
        <v>364</v>
      </c>
      <c r="C219" s="6" t="s">
        <v>395</v>
      </c>
      <c r="D219" s="6" t="s">
        <v>366</v>
      </c>
      <c r="E219" s="7" t="n">
        <v>6.79</v>
      </c>
      <c r="F219" s="7" t="n">
        <v>6.79</v>
      </c>
      <c r="G219" s="6" t="s">
        <v>31</v>
      </c>
      <c r="H219" s="7" t="n">
        <v>5.99</v>
      </c>
      <c r="I219" s="7"/>
      <c r="J219" s="7"/>
      <c r="K219" s="6" t="s">
        <v>32</v>
      </c>
      <c r="L219" s="6" t="s">
        <v>93</v>
      </c>
      <c r="M219" s="8" t="n">
        <f aca="false">IF(H219&lt;E219,(E219-H219)/H219,IF(H219&gt;F219,(F219-H219)/H219,0))</f>
        <v>0.13355592654424</v>
      </c>
      <c r="N219" s="9" t="s">
        <v>34</v>
      </c>
      <c r="O219" s="9" t="s">
        <v>34</v>
      </c>
    </row>
    <row r="220" customFormat="false" ht="15" hidden="false" customHeight="false" outlineLevel="0" collapsed="false">
      <c r="A220" s="6" t="s">
        <v>394</v>
      </c>
      <c r="B220" s="6" t="s">
        <v>364</v>
      </c>
      <c r="C220" s="6" t="s">
        <v>395</v>
      </c>
      <c r="D220" s="6" t="s">
        <v>366</v>
      </c>
      <c r="E220" s="7" t="n">
        <v>6.79</v>
      </c>
      <c r="F220" s="7" t="n">
        <v>6.79</v>
      </c>
      <c r="G220" s="6" t="s">
        <v>147</v>
      </c>
      <c r="H220" s="7" t="n">
        <v>7.5</v>
      </c>
      <c r="I220" s="7"/>
      <c r="J220" s="7"/>
      <c r="K220" s="6" t="s">
        <v>32</v>
      </c>
      <c r="L220" s="6" t="s">
        <v>45</v>
      </c>
      <c r="M220" s="8" t="n">
        <f aca="false">IF(H220&lt;E220,(E220-H220)/H220,IF(H220&gt;F220,(F220-H220)/H220,0))</f>
        <v>-0.0946666666666667</v>
      </c>
      <c r="N220" s="9" t="s">
        <v>34</v>
      </c>
      <c r="O220" s="9" t="s">
        <v>34</v>
      </c>
    </row>
    <row r="221" customFormat="false" ht="15" hidden="false" customHeight="false" outlineLevel="0" collapsed="false">
      <c r="A221" s="6" t="s">
        <v>394</v>
      </c>
      <c r="B221" s="6" t="s">
        <v>364</v>
      </c>
      <c r="C221" s="6" t="s">
        <v>395</v>
      </c>
      <c r="D221" s="6" t="s">
        <v>366</v>
      </c>
      <c r="E221" s="7" t="n">
        <v>6.79</v>
      </c>
      <c r="F221" s="7" t="n">
        <v>6.79</v>
      </c>
      <c r="G221" s="6" t="s">
        <v>226</v>
      </c>
      <c r="H221" s="7" t="n">
        <v>6</v>
      </c>
      <c r="I221" s="7"/>
      <c r="J221" s="7"/>
      <c r="K221" s="6" t="s">
        <v>40</v>
      </c>
      <c r="L221" s="6" t="s">
        <v>45</v>
      </c>
      <c r="M221" s="8" t="n">
        <f aca="false">IF(H221&lt;E221,(E221-H221)/H221,IF(H221&gt;F221,(F221-H221)/H221,0))</f>
        <v>0.131666666666667</v>
      </c>
      <c r="N221" s="9" t="s">
        <v>34</v>
      </c>
      <c r="O221" s="9" t="s">
        <v>34</v>
      </c>
    </row>
    <row r="222" customFormat="false" ht="15" hidden="false" customHeight="false" outlineLevel="0" collapsed="false">
      <c r="A222" s="6" t="s">
        <v>396</v>
      </c>
      <c r="B222" s="6" t="s">
        <v>364</v>
      </c>
      <c r="C222" s="6" t="s">
        <v>397</v>
      </c>
      <c r="D222" s="6" t="s">
        <v>366</v>
      </c>
      <c r="E222" s="7" t="n">
        <v>6.29</v>
      </c>
      <c r="F222" s="7" t="n">
        <v>6.29</v>
      </c>
      <c r="G222" s="6" t="s">
        <v>31</v>
      </c>
      <c r="H222" s="7" t="n">
        <v>6.09</v>
      </c>
      <c r="I222" s="7"/>
      <c r="J222" s="7"/>
      <c r="K222" s="6" t="s">
        <v>32</v>
      </c>
      <c r="L222" s="6" t="s">
        <v>93</v>
      </c>
      <c r="M222" s="8" t="n">
        <f aca="false">IF(H222&lt;E222,(E222-H222)/H222,IF(H222&gt;F222,(F222-H222)/H222,0))</f>
        <v>0.0328407224958949</v>
      </c>
      <c r="N222" s="9" t="s">
        <v>34</v>
      </c>
      <c r="O222" s="9" t="s">
        <v>34</v>
      </c>
    </row>
    <row r="223" customFormat="false" ht="15" hidden="false" customHeight="false" outlineLevel="0" collapsed="false">
      <c r="A223" s="6" t="s">
        <v>396</v>
      </c>
      <c r="B223" s="6" t="s">
        <v>364</v>
      </c>
      <c r="C223" s="6" t="s">
        <v>397</v>
      </c>
      <c r="D223" s="6" t="s">
        <v>366</v>
      </c>
      <c r="E223" s="7" t="n">
        <v>6.29</v>
      </c>
      <c r="F223" s="7" t="n">
        <v>6.29</v>
      </c>
      <c r="G223" s="6" t="s">
        <v>226</v>
      </c>
      <c r="H223" s="7" t="n">
        <v>6.36</v>
      </c>
      <c r="I223" s="7"/>
      <c r="J223" s="7"/>
      <c r="K223" s="6" t="s">
        <v>40</v>
      </c>
      <c r="L223" s="6" t="s">
        <v>94</v>
      </c>
      <c r="M223" s="8" t="n">
        <f aca="false">IF(H223&lt;E223,(E223-H223)/H223,IF(H223&gt;F223,(F223-H223)/H223,0))</f>
        <v>-0.0110062893081761</v>
      </c>
      <c r="N223" s="9" t="s">
        <v>34</v>
      </c>
      <c r="O223" s="9" t="s">
        <v>34</v>
      </c>
    </row>
    <row r="224" customFormat="false" ht="15" hidden="false" customHeight="false" outlineLevel="0" collapsed="false">
      <c r="A224" s="6" t="s">
        <v>398</v>
      </c>
      <c r="B224" s="6" t="s">
        <v>364</v>
      </c>
      <c r="C224" s="6" t="s">
        <v>399</v>
      </c>
      <c r="D224" s="6" t="s">
        <v>366</v>
      </c>
      <c r="E224" s="7" t="n">
        <v>6.59</v>
      </c>
      <c r="F224" s="7" t="n">
        <v>6.59</v>
      </c>
      <c r="G224" s="6" t="s">
        <v>31</v>
      </c>
      <c r="H224" s="7" t="n">
        <v>6.49</v>
      </c>
      <c r="I224" s="7"/>
      <c r="J224" s="7"/>
      <c r="K224" s="6" t="s">
        <v>32</v>
      </c>
      <c r="L224" s="6" t="s">
        <v>93</v>
      </c>
      <c r="M224" s="8" t="n">
        <f aca="false">IF(H224&lt;E224,(E224-H224)/H224,IF(H224&gt;F224,(F224-H224)/H224,0))</f>
        <v>0.0154083204930662</v>
      </c>
      <c r="N224" s="9" t="s">
        <v>34</v>
      </c>
      <c r="O224" s="9" t="s">
        <v>34</v>
      </c>
    </row>
    <row r="225" customFormat="false" ht="15" hidden="false" customHeight="false" outlineLevel="0" collapsed="false">
      <c r="A225" s="6" t="s">
        <v>400</v>
      </c>
      <c r="B225" s="6" t="s">
        <v>364</v>
      </c>
      <c r="C225" s="6" t="s">
        <v>401</v>
      </c>
      <c r="D225" s="6" t="s">
        <v>30</v>
      </c>
      <c r="E225" s="7" t="n">
        <v>29.99</v>
      </c>
      <c r="F225" s="7" t="n">
        <v>29.99</v>
      </c>
      <c r="G225" s="6" t="s">
        <v>31</v>
      </c>
      <c r="H225" s="7" t="n">
        <v>23.79</v>
      </c>
      <c r="I225" s="7"/>
      <c r="J225" s="7"/>
      <c r="K225" s="6" t="s">
        <v>32</v>
      </c>
      <c r="L225" s="6" t="s">
        <v>45</v>
      </c>
      <c r="M225" s="8" t="n">
        <f aca="false">IF(H225&lt;E225,(E225-H225)/H225,IF(H225&gt;F225,(F225-H225)/H225,0))</f>
        <v>0.260613703236654</v>
      </c>
      <c r="N225" s="9" t="s">
        <v>34</v>
      </c>
      <c r="O225" s="9" t="s">
        <v>34</v>
      </c>
    </row>
    <row r="226" customFormat="false" ht="15" hidden="false" customHeight="false" outlineLevel="0" collapsed="false">
      <c r="A226" s="6" t="s">
        <v>400</v>
      </c>
      <c r="B226" s="6" t="s">
        <v>364</v>
      </c>
      <c r="C226" s="6" t="s">
        <v>401</v>
      </c>
      <c r="D226" s="6" t="s">
        <v>30</v>
      </c>
      <c r="E226" s="7" t="n">
        <v>29.99</v>
      </c>
      <c r="F226" s="7" t="n">
        <v>29.99</v>
      </c>
      <c r="G226" s="6" t="s">
        <v>226</v>
      </c>
      <c r="H226" s="7" t="n">
        <v>26.8</v>
      </c>
      <c r="I226" s="7"/>
      <c r="J226" s="7"/>
      <c r="K226" s="6" t="s">
        <v>40</v>
      </c>
      <c r="L226" s="6" t="s">
        <v>93</v>
      </c>
      <c r="M226" s="8" t="n">
        <f aca="false">IF(H226&lt;E226,(E226-H226)/H226,IF(H226&gt;F226,(F226-H226)/H226,0))</f>
        <v>0.119029850746269</v>
      </c>
      <c r="N226" s="9" t="s">
        <v>34</v>
      </c>
      <c r="O226" s="9" t="s">
        <v>34</v>
      </c>
    </row>
    <row r="227" customFormat="false" ht="15" hidden="false" customHeight="false" outlineLevel="0" collapsed="false">
      <c r="A227" s="6" t="s">
        <v>402</v>
      </c>
      <c r="B227" s="6" t="s">
        <v>364</v>
      </c>
      <c r="C227" s="6" t="s">
        <v>403</v>
      </c>
      <c r="D227" s="6" t="s">
        <v>69</v>
      </c>
      <c r="E227" s="7" t="n">
        <v>27.9</v>
      </c>
      <c r="F227" s="7" t="n">
        <v>29.9</v>
      </c>
      <c r="G227" s="6" t="s">
        <v>226</v>
      </c>
      <c r="H227" s="7" t="n">
        <v>24.23</v>
      </c>
      <c r="I227" s="7"/>
      <c r="J227" s="7"/>
      <c r="K227" s="6" t="s">
        <v>40</v>
      </c>
      <c r="L227" s="6" t="s">
        <v>93</v>
      </c>
      <c r="M227" s="8" t="n">
        <f aca="false">IF(H227&lt;E227,(E227-H227)/H227,IF(H227&gt;F227,(F227-H227)/H227,0))</f>
        <v>0.151465125877012</v>
      </c>
      <c r="N227" s="9" t="s">
        <v>34</v>
      </c>
      <c r="O227" s="9" t="s">
        <v>34</v>
      </c>
    </row>
    <row r="228" customFormat="false" ht="15" hidden="false" customHeight="false" outlineLevel="0" collapsed="false">
      <c r="A228" s="6" t="s">
        <v>404</v>
      </c>
      <c r="B228" s="6" t="s">
        <v>364</v>
      </c>
      <c r="C228" s="6" t="s">
        <v>405</v>
      </c>
      <c r="D228" s="6" t="s">
        <v>69</v>
      </c>
      <c r="E228" s="7" t="n">
        <v>27.9</v>
      </c>
      <c r="F228" s="7" t="n">
        <v>29.99</v>
      </c>
      <c r="G228" s="6" t="s">
        <v>39</v>
      </c>
      <c r="H228" s="7" t="n">
        <v>25.6</v>
      </c>
      <c r="I228" s="7"/>
      <c r="J228" s="7"/>
      <c r="K228" s="6" t="s">
        <v>32</v>
      </c>
      <c r="L228" s="6" t="s">
        <v>45</v>
      </c>
      <c r="M228" s="8" t="n">
        <f aca="false">IF(H228&lt;E228,(E228-H228)/H228,IF(H228&gt;F228,(F228-H228)/H228,0))</f>
        <v>0.0898437499999999</v>
      </c>
      <c r="N228" s="9" t="s">
        <v>34</v>
      </c>
      <c r="O228" s="9" t="s">
        <v>34</v>
      </c>
    </row>
    <row r="229" customFormat="false" ht="15" hidden="false" customHeight="false" outlineLevel="0" collapsed="false">
      <c r="A229" s="6" t="s">
        <v>406</v>
      </c>
      <c r="B229" s="6" t="s">
        <v>364</v>
      </c>
      <c r="C229" s="6" t="s">
        <v>407</v>
      </c>
      <c r="D229" s="6" t="s">
        <v>408</v>
      </c>
      <c r="E229" s="7" t="n">
        <v>31.5</v>
      </c>
      <c r="F229" s="7" t="n">
        <v>31.5</v>
      </c>
      <c r="G229" s="6" t="s">
        <v>226</v>
      </c>
      <c r="H229" s="7" t="n">
        <v>24.23</v>
      </c>
      <c r="I229" s="7"/>
      <c r="J229" s="7"/>
      <c r="K229" s="6" t="s">
        <v>40</v>
      </c>
      <c r="L229" s="6" t="s">
        <v>93</v>
      </c>
      <c r="M229" s="8" t="n">
        <f aca="false">IF(H229&lt;E229,(E229-H229)/H229,IF(H229&gt;F229,(F229-H229)/H229,0))</f>
        <v>0.300041271151465</v>
      </c>
      <c r="N229" s="9" t="s">
        <v>34</v>
      </c>
      <c r="O229" s="9" t="s">
        <v>34</v>
      </c>
    </row>
    <row r="230" customFormat="false" ht="15" hidden="false" customHeight="false" outlineLevel="0" collapsed="false">
      <c r="A230" s="6" t="s">
        <v>409</v>
      </c>
      <c r="B230" s="6" t="s">
        <v>364</v>
      </c>
      <c r="C230" s="6" t="s">
        <v>410</v>
      </c>
      <c r="D230" s="6" t="s">
        <v>408</v>
      </c>
      <c r="E230" s="7" t="n">
        <v>31.5</v>
      </c>
      <c r="F230" s="7" t="n">
        <v>31.5</v>
      </c>
      <c r="G230" s="6" t="s">
        <v>226</v>
      </c>
      <c r="H230" s="7" t="n">
        <v>33.15</v>
      </c>
      <c r="I230" s="7"/>
      <c r="J230" s="7"/>
      <c r="K230" s="6" t="s">
        <v>40</v>
      </c>
      <c r="L230" s="6" t="s">
        <v>93</v>
      </c>
      <c r="M230" s="8" t="n">
        <f aca="false">IF(H230&lt;E230,(E230-H230)/H230,IF(H230&gt;F230,(F230-H230)/H230,0))</f>
        <v>-0.0497737556561086</v>
      </c>
      <c r="N230" s="9" t="s">
        <v>34</v>
      </c>
      <c r="O230" s="9" t="s">
        <v>34</v>
      </c>
    </row>
    <row r="231" customFormat="false" ht="15" hidden="false" customHeight="false" outlineLevel="0" collapsed="false">
      <c r="A231" s="6" t="s">
        <v>411</v>
      </c>
      <c r="B231" s="6" t="s">
        <v>364</v>
      </c>
      <c r="C231" s="6" t="s">
        <v>412</v>
      </c>
      <c r="D231" s="6" t="s">
        <v>52</v>
      </c>
      <c r="E231" s="7" t="n">
        <v>29.88</v>
      </c>
      <c r="F231" s="7" t="n">
        <v>29.88</v>
      </c>
      <c r="G231" s="6" t="s">
        <v>39</v>
      </c>
      <c r="H231" s="7" t="n">
        <v>25.6</v>
      </c>
      <c r="I231" s="7"/>
      <c r="J231" s="7"/>
      <c r="K231" s="6" t="s">
        <v>32</v>
      </c>
      <c r="L231" s="6" t="s">
        <v>93</v>
      </c>
      <c r="M231" s="8" t="n">
        <f aca="false">IF(H231&lt;E231,(E231-H231)/H231,IF(H231&gt;F231,(F231-H231)/H231,0))</f>
        <v>0.1671875</v>
      </c>
      <c r="N231" s="9" t="s">
        <v>34</v>
      </c>
      <c r="O231" s="9" t="s">
        <v>34</v>
      </c>
    </row>
    <row r="232" customFormat="false" ht="15" hidden="false" customHeight="false" outlineLevel="0" collapsed="false">
      <c r="A232" s="6" t="s">
        <v>413</v>
      </c>
      <c r="B232" s="6" t="s">
        <v>364</v>
      </c>
      <c r="C232" s="6" t="s">
        <v>414</v>
      </c>
      <c r="D232" s="6" t="s">
        <v>408</v>
      </c>
      <c r="E232" s="7" t="n">
        <v>26.98</v>
      </c>
      <c r="F232" s="7" t="n">
        <v>26.98</v>
      </c>
      <c r="G232" s="6" t="s">
        <v>226</v>
      </c>
      <c r="H232" s="7" t="n">
        <v>24.23</v>
      </c>
      <c r="I232" s="7"/>
      <c r="J232" s="7"/>
      <c r="K232" s="6" t="s">
        <v>40</v>
      </c>
      <c r="L232" s="6" t="s">
        <v>93</v>
      </c>
      <c r="M232" s="8" t="n">
        <f aca="false">IF(H232&lt;E232,(E232-H232)/H232,IF(H232&gt;F232,(F232-H232)/H232,0))</f>
        <v>0.113495666529096</v>
      </c>
      <c r="N232" s="9" t="s">
        <v>34</v>
      </c>
      <c r="O232" s="9" t="s">
        <v>34</v>
      </c>
    </row>
    <row r="233" customFormat="false" ht="15" hidden="false" customHeight="false" outlineLevel="0" collapsed="false">
      <c r="A233" s="6" t="s">
        <v>415</v>
      </c>
      <c r="B233" s="6" t="s">
        <v>364</v>
      </c>
      <c r="C233" s="6" t="s">
        <v>416</v>
      </c>
      <c r="D233" s="6" t="s">
        <v>408</v>
      </c>
      <c r="E233" s="7" t="n">
        <v>29.98</v>
      </c>
      <c r="F233" s="7" t="n">
        <v>32.7</v>
      </c>
      <c r="G233" s="6" t="s">
        <v>39</v>
      </c>
      <c r="H233" s="7" t="n">
        <v>30.35</v>
      </c>
      <c r="I233" s="7"/>
      <c r="J233" s="7"/>
      <c r="K233" s="6" t="s">
        <v>32</v>
      </c>
      <c r="L233" s="6" t="s">
        <v>45</v>
      </c>
      <c r="M233" s="8" t="n">
        <f aca="false">IF(H233&lt;E233,(E233-H233)/H233,IF(H233&gt;F233,(F233-H233)/H233,0))</f>
        <v>0</v>
      </c>
      <c r="N233" s="9" t="s">
        <v>34</v>
      </c>
      <c r="O233" s="9" t="s">
        <v>34</v>
      </c>
    </row>
    <row r="234" customFormat="false" ht="15" hidden="false" customHeight="false" outlineLevel="0" collapsed="false">
      <c r="A234" s="6" t="s">
        <v>417</v>
      </c>
      <c r="B234" s="6" t="s">
        <v>364</v>
      </c>
      <c r="C234" s="6" t="s">
        <v>418</v>
      </c>
      <c r="D234" s="6" t="s">
        <v>69</v>
      </c>
      <c r="E234" s="7" t="n">
        <v>17.98</v>
      </c>
      <c r="F234" s="7" t="n">
        <v>17.98</v>
      </c>
      <c r="G234" s="6" t="s">
        <v>147</v>
      </c>
      <c r="H234" s="7" t="n">
        <v>18.9</v>
      </c>
      <c r="I234" s="7"/>
      <c r="J234" s="7"/>
      <c r="K234" s="6" t="s">
        <v>32</v>
      </c>
      <c r="L234" s="6" t="s">
        <v>93</v>
      </c>
      <c r="M234" s="8" t="n">
        <f aca="false">IF(H234&lt;E234,(E234-H234)/H234,IF(H234&gt;F234,(F234-H234)/H234,0))</f>
        <v>-0.0486772486772486</v>
      </c>
      <c r="N234" s="9" t="s">
        <v>34</v>
      </c>
      <c r="O234" s="9" t="s">
        <v>34</v>
      </c>
    </row>
    <row r="235" customFormat="false" ht="15" hidden="false" customHeight="false" outlineLevel="0" collapsed="false">
      <c r="A235" s="6" t="s">
        <v>417</v>
      </c>
      <c r="B235" s="6" t="s">
        <v>364</v>
      </c>
      <c r="C235" s="6" t="s">
        <v>418</v>
      </c>
      <c r="D235" s="6" t="s">
        <v>69</v>
      </c>
      <c r="E235" s="7" t="n">
        <v>17.98</v>
      </c>
      <c r="F235" s="7" t="n">
        <v>17.98</v>
      </c>
      <c r="G235" s="6" t="s">
        <v>226</v>
      </c>
      <c r="H235" s="7" t="n">
        <v>26.8</v>
      </c>
      <c r="I235" s="7"/>
      <c r="J235" s="7"/>
      <c r="K235" s="6" t="s">
        <v>40</v>
      </c>
      <c r="L235" s="6" t="s">
        <v>93</v>
      </c>
      <c r="M235" s="8" t="n">
        <f aca="false">IF(H235&lt;E235,(E235-H235)/H235,IF(H235&gt;F235,(F235-H235)/H235,0))</f>
        <v>-0.32910447761194</v>
      </c>
      <c r="N235" s="9" t="s">
        <v>34</v>
      </c>
      <c r="O235" s="9" t="s">
        <v>34</v>
      </c>
    </row>
    <row r="236" customFormat="false" ht="15" hidden="false" customHeight="false" outlineLevel="0" collapsed="false">
      <c r="A236" s="6" t="s">
        <v>419</v>
      </c>
      <c r="B236" s="6" t="s">
        <v>364</v>
      </c>
      <c r="C236" s="6" t="s">
        <v>420</v>
      </c>
      <c r="D236" s="6" t="s">
        <v>52</v>
      </c>
      <c r="E236" s="7" t="n">
        <v>17.99</v>
      </c>
      <c r="F236" s="7" t="n">
        <v>17.99</v>
      </c>
      <c r="G236" s="6" t="s">
        <v>31</v>
      </c>
      <c r="H236" s="7" t="n">
        <v>14.59</v>
      </c>
      <c r="I236" s="7"/>
      <c r="J236" s="7"/>
      <c r="K236" s="6" t="s">
        <v>32</v>
      </c>
      <c r="L236" s="6" t="s">
        <v>45</v>
      </c>
      <c r="M236" s="8" t="n">
        <f aca="false">IF(H236&lt;E236,(E236-H236)/H236,IF(H236&gt;F236,(F236-H236)/H236,0))</f>
        <v>0.233036326250857</v>
      </c>
      <c r="N236" s="9" t="s">
        <v>34</v>
      </c>
      <c r="O236" s="9" t="s">
        <v>34</v>
      </c>
    </row>
    <row r="237" customFormat="false" ht="15" hidden="false" customHeight="false" outlineLevel="0" collapsed="false">
      <c r="A237" s="6" t="s">
        <v>419</v>
      </c>
      <c r="B237" s="6" t="s">
        <v>364</v>
      </c>
      <c r="C237" s="6" t="s">
        <v>420</v>
      </c>
      <c r="D237" s="6" t="s">
        <v>52</v>
      </c>
      <c r="E237" s="7" t="n">
        <v>17.99</v>
      </c>
      <c r="F237" s="7" t="n">
        <v>17.99</v>
      </c>
      <c r="G237" s="6" t="s">
        <v>226</v>
      </c>
      <c r="H237" s="7" t="n">
        <v>16</v>
      </c>
      <c r="I237" s="7"/>
      <c r="J237" s="7"/>
      <c r="K237" s="6" t="s">
        <v>40</v>
      </c>
      <c r="L237" s="6" t="s">
        <v>93</v>
      </c>
      <c r="M237" s="8" t="n">
        <f aca="false">IF(H237&lt;E237,(E237-H237)/H237,IF(H237&gt;F237,(F237-H237)/H237,0))</f>
        <v>0.124375</v>
      </c>
      <c r="N237" s="9" t="s">
        <v>34</v>
      </c>
      <c r="O237" s="9" t="s">
        <v>34</v>
      </c>
    </row>
    <row r="238" customFormat="false" ht="15" hidden="false" customHeight="false" outlineLevel="0" collapsed="false">
      <c r="A238" s="6" t="s">
        <v>421</v>
      </c>
      <c r="B238" s="6" t="s">
        <v>364</v>
      </c>
      <c r="C238" s="6" t="s">
        <v>422</v>
      </c>
      <c r="D238" s="6" t="s">
        <v>423</v>
      </c>
      <c r="E238" s="7" t="n">
        <v>5.9</v>
      </c>
      <c r="F238" s="7" t="n">
        <v>6.9</v>
      </c>
      <c r="G238" s="6" t="s">
        <v>31</v>
      </c>
      <c r="H238" s="7" t="n">
        <v>5.49</v>
      </c>
      <c r="I238" s="7"/>
      <c r="J238" s="7"/>
      <c r="K238" s="6" t="s">
        <v>32</v>
      </c>
      <c r="L238" s="6" t="s">
        <v>33</v>
      </c>
      <c r="M238" s="8" t="n">
        <f aca="false">IF(H238&lt;E238,(E238-H238)/H238,IF(H238&gt;F238,(F238-H238)/H238,0))</f>
        <v>0.0746812386156649</v>
      </c>
      <c r="N238" s="9" t="s">
        <v>34</v>
      </c>
      <c r="O238" s="9" t="s">
        <v>34</v>
      </c>
    </row>
    <row r="239" customFormat="false" ht="15" hidden="false" customHeight="false" outlineLevel="0" collapsed="false">
      <c r="A239" s="6" t="s">
        <v>424</v>
      </c>
      <c r="B239" s="6" t="s">
        <v>364</v>
      </c>
      <c r="C239" s="6" t="s">
        <v>425</v>
      </c>
      <c r="D239" s="6" t="s">
        <v>426</v>
      </c>
      <c r="E239" s="7" t="n">
        <v>5.9</v>
      </c>
      <c r="F239" s="7" t="n">
        <v>11.5</v>
      </c>
      <c r="G239" s="6" t="s">
        <v>31</v>
      </c>
      <c r="H239" s="7" t="n">
        <v>5.99</v>
      </c>
      <c r="I239" s="7"/>
      <c r="J239" s="7"/>
      <c r="K239" s="6" t="s">
        <v>32</v>
      </c>
      <c r="L239" s="6" t="s">
        <v>33</v>
      </c>
      <c r="M239" s="8" t="n">
        <f aca="false">IF(H239&lt;E239,(E239-H239)/H239,IF(H239&gt;F239,(F239-H239)/H239,0))</f>
        <v>0</v>
      </c>
      <c r="N239" s="9" t="s">
        <v>34</v>
      </c>
      <c r="O239" s="9" t="s">
        <v>34</v>
      </c>
    </row>
    <row r="240" customFormat="false" ht="15" hidden="false" customHeight="false" outlineLevel="0" collapsed="false">
      <c r="A240" s="6" t="s">
        <v>427</v>
      </c>
      <c r="B240" s="6" t="s">
        <v>364</v>
      </c>
      <c r="C240" s="6" t="s">
        <v>428</v>
      </c>
      <c r="D240" s="6" t="s">
        <v>277</v>
      </c>
      <c r="E240" s="7" t="n">
        <v>3.6</v>
      </c>
      <c r="F240" s="7" t="n">
        <v>3.6</v>
      </c>
      <c r="G240" s="6" t="s">
        <v>31</v>
      </c>
      <c r="H240" s="7" t="n">
        <v>3.25</v>
      </c>
      <c r="I240" s="7"/>
      <c r="J240" s="7"/>
      <c r="K240" s="6" t="s">
        <v>32</v>
      </c>
      <c r="L240" s="6" t="s">
        <v>33</v>
      </c>
      <c r="M240" s="8" t="n">
        <f aca="false">IF(H240&lt;E240,(E240-H240)/H240,IF(H240&gt;F240,(F240-H240)/H240,0))</f>
        <v>0.107692307692308</v>
      </c>
      <c r="N240" s="9" t="s">
        <v>34</v>
      </c>
      <c r="O240" s="9" t="s">
        <v>34</v>
      </c>
    </row>
    <row r="241" customFormat="false" ht="15" hidden="false" customHeight="false" outlineLevel="0" collapsed="false">
      <c r="A241" s="6" t="s">
        <v>429</v>
      </c>
      <c r="B241" s="6" t="s">
        <v>364</v>
      </c>
      <c r="C241" s="6" t="s">
        <v>430</v>
      </c>
      <c r="D241" s="6" t="s">
        <v>30</v>
      </c>
      <c r="E241" s="7" t="n">
        <v>11.95</v>
      </c>
      <c r="F241" s="7" t="n">
        <v>11.95</v>
      </c>
      <c r="G241" s="6" t="s">
        <v>31</v>
      </c>
      <c r="H241" s="7" t="n">
        <v>10.99</v>
      </c>
      <c r="I241" s="7"/>
      <c r="J241" s="7"/>
      <c r="K241" s="6" t="s">
        <v>32</v>
      </c>
      <c r="L241" s="6" t="s">
        <v>93</v>
      </c>
      <c r="M241" s="8" t="n">
        <f aca="false">IF(H241&lt;E241,(E241-H241)/H241,IF(H241&gt;F241,(F241-H241)/H241,0))</f>
        <v>0.0873521383075522</v>
      </c>
      <c r="N241" s="9" t="s">
        <v>34</v>
      </c>
      <c r="O241" s="9" t="s">
        <v>34</v>
      </c>
    </row>
    <row r="242" customFormat="false" ht="15" hidden="false" customHeight="false" outlineLevel="0" collapsed="false">
      <c r="A242" s="6" t="s">
        <v>429</v>
      </c>
      <c r="B242" s="6" t="s">
        <v>364</v>
      </c>
      <c r="C242" s="6" t="s">
        <v>430</v>
      </c>
      <c r="D242" s="6" t="s">
        <v>30</v>
      </c>
      <c r="E242" s="7" t="n">
        <v>11.95</v>
      </c>
      <c r="F242" s="7" t="n">
        <v>11.95</v>
      </c>
      <c r="G242" s="6" t="s">
        <v>147</v>
      </c>
      <c r="H242" s="7" t="n">
        <v>10.9</v>
      </c>
      <c r="I242" s="7"/>
      <c r="J242" s="7"/>
      <c r="K242" s="6" t="s">
        <v>32</v>
      </c>
      <c r="L242" s="6" t="s">
        <v>93</v>
      </c>
      <c r="M242" s="8" t="n">
        <f aca="false">IF(H242&lt;E242,(E242-H242)/H242,IF(H242&gt;F242,(F242-H242)/H242,0))</f>
        <v>0.0963302752293577</v>
      </c>
      <c r="N242" s="9" t="s">
        <v>34</v>
      </c>
      <c r="O242" s="9" t="s">
        <v>34</v>
      </c>
    </row>
    <row r="243" customFormat="false" ht="15" hidden="false" customHeight="false" outlineLevel="0" collapsed="false">
      <c r="A243" s="6" t="s">
        <v>429</v>
      </c>
      <c r="B243" s="6" t="s">
        <v>364</v>
      </c>
      <c r="C243" s="6" t="s">
        <v>430</v>
      </c>
      <c r="D243" s="6" t="s">
        <v>30</v>
      </c>
      <c r="E243" s="7" t="n">
        <v>11.95</v>
      </c>
      <c r="F243" s="7" t="n">
        <v>11.95</v>
      </c>
      <c r="G243" s="6" t="s">
        <v>226</v>
      </c>
      <c r="H243" s="7" t="n">
        <v>10.8</v>
      </c>
      <c r="I243" s="7"/>
      <c r="J243" s="7"/>
      <c r="K243" s="6" t="s">
        <v>40</v>
      </c>
      <c r="L243" s="6" t="s">
        <v>45</v>
      </c>
      <c r="M243" s="8" t="n">
        <f aca="false">IF(H243&lt;E243,(E243-H243)/H243,IF(H243&gt;F243,(F243-H243)/H243,0))</f>
        <v>0.106481481481481</v>
      </c>
      <c r="N243" s="9" t="s">
        <v>34</v>
      </c>
      <c r="O243" s="9" t="s">
        <v>34</v>
      </c>
    </row>
    <row r="244" customFormat="false" ht="15" hidden="false" customHeight="false" outlineLevel="0" collapsed="false">
      <c r="A244" s="6" t="s">
        <v>431</v>
      </c>
      <c r="B244" s="6" t="s">
        <v>364</v>
      </c>
      <c r="C244" s="6" t="s">
        <v>432</v>
      </c>
      <c r="D244" s="6" t="s">
        <v>433</v>
      </c>
      <c r="E244" s="7" t="n">
        <v>13.75</v>
      </c>
      <c r="F244" s="7" t="n">
        <v>13.75</v>
      </c>
      <c r="G244" s="6" t="s">
        <v>31</v>
      </c>
      <c r="H244" s="7" t="n">
        <v>8.99</v>
      </c>
      <c r="I244" s="7"/>
      <c r="J244" s="7"/>
      <c r="K244" s="6" t="s">
        <v>32</v>
      </c>
      <c r="L244" s="6" t="s">
        <v>93</v>
      </c>
      <c r="M244" s="8" t="n">
        <f aca="false">IF(H244&lt;E244,(E244-H244)/H244,IF(H244&gt;F244,(F244-H244)/H244,0))</f>
        <v>0.529477196885428</v>
      </c>
      <c r="N244" s="9" t="s">
        <v>34</v>
      </c>
      <c r="O244" s="9" t="s">
        <v>34</v>
      </c>
    </row>
    <row r="245" customFormat="false" ht="15" hidden="false" customHeight="false" outlineLevel="0" collapsed="false">
      <c r="A245" s="6" t="s">
        <v>431</v>
      </c>
      <c r="B245" s="6" t="s">
        <v>364</v>
      </c>
      <c r="C245" s="6" t="s">
        <v>432</v>
      </c>
      <c r="D245" s="6" t="s">
        <v>433</v>
      </c>
      <c r="E245" s="7" t="n">
        <v>13.75</v>
      </c>
      <c r="F245" s="7" t="n">
        <v>13.75</v>
      </c>
      <c r="G245" s="6" t="s">
        <v>147</v>
      </c>
      <c r="H245" s="7" t="n">
        <v>8.28</v>
      </c>
      <c r="I245" s="7" t="n">
        <v>8.28</v>
      </c>
      <c r="J245" s="7" t="n">
        <v>10.26</v>
      </c>
      <c r="K245" s="6" t="s">
        <v>32</v>
      </c>
      <c r="L245" s="6" t="s">
        <v>93</v>
      </c>
      <c r="M245" s="8" t="n">
        <f aca="false">IF(H245&lt;E245,(E245-H245)/H245,IF(H245&gt;F245,(F245-H245)/H245,0))</f>
        <v>0.660628019323672</v>
      </c>
      <c r="N245" s="9" t="s">
        <v>34</v>
      </c>
      <c r="O245" s="9" t="s">
        <v>34</v>
      </c>
    </row>
    <row r="246" customFormat="false" ht="15" hidden="false" customHeight="false" outlineLevel="0" collapsed="false">
      <c r="A246" s="6" t="s">
        <v>431</v>
      </c>
      <c r="B246" s="6" t="s">
        <v>364</v>
      </c>
      <c r="C246" s="6" t="s">
        <v>432</v>
      </c>
      <c r="D246" s="6" t="s">
        <v>433</v>
      </c>
      <c r="E246" s="7" t="n">
        <v>13.75</v>
      </c>
      <c r="F246" s="7" t="n">
        <v>13.75</v>
      </c>
      <c r="G246" s="6" t="s">
        <v>105</v>
      </c>
      <c r="H246" s="7" t="n">
        <v>15.05</v>
      </c>
      <c r="I246" s="7"/>
      <c r="J246" s="7"/>
      <c r="K246" s="6" t="s">
        <v>106</v>
      </c>
      <c r="L246" s="6" t="s">
        <v>93</v>
      </c>
      <c r="M246" s="8" t="n">
        <f aca="false">IF(H246&lt;E246,(E246-H246)/H246,IF(H246&gt;F246,(F246-H246)/H246,0))</f>
        <v>-0.0863787375415283</v>
      </c>
      <c r="N246" s="9" t="s">
        <v>34</v>
      </c>
      <c r="O246" s="9" t="s">
        <v>34</v>
      </c>
    </row>
    <row r="247" customFormat="false" ht="15" hidden="false" customHeight="false" outlineLevel="0" collapsed="false">
      <c r="A247" s="6" t="s">
        <v>431</v>
      </c>
      <c r="B247" s="6" t="s">
        <v>364</v>
      </c>
      <c r="C247" s="6" t="s">
        <v>432</v>
      </c>
      <c r="D247" s="6" t="s">
        <v>433</v>
      </c>
      <c r="E247" s="7" t="n">
        <v>13.75</v>
      </c>
      <c r="F247" s="7" t="n">
        <v>13.75</v>
      </c>
      <c r="G247" s="6" t="s">
        <v>226</v>
      </c>
      <c r="H247" s="7" t="n">
        <v>12.72</v>
      </c>
      <c r="I247" s="7"/>
      <c r="J247" s="7"/>
      <c r="K247" s="6" t="s">
        <v>40</v>
      </c>
      <c r="L247" s="6" t="s">
        <v>45</v>
      </c>
      <c r="M247" s="8" t="n">
        <f aca="false">IF(H247&lt;E247,(E247-H247)/H247,IF(H247&gt;F247,(F247-H247)/H247,0))</f>
        <v>0.0809748427672955</v>
      </c>
      <c r="N247" s="9" t="s">
        <v>34</v>
      </c>
      <c r="O247" s="9" t="s">
        <v>34</v>
      </c>
    </row>
    <row r="248" customFormat="false" ht="15" hidden="false" customHeight="false" outlineLevel="0" collapsed="false">
      <c r="A248" s="6" t="s">
        <v>434</v>
      </c>
      <c r="B248" s="6" t="s">
        <v>364</v>
      </c>
      <c r="C248" s="6" t="s">
        <v>435</v>
      </c>
      <c r="D248" s="6" t="s">
        <v>433</v>
      </c>
      <c r="E248" s="7" t="n">
        <v>11.5</v>
      </c>
      <c r="F248" s="7" t="n">
        <v>11.5</v>
      </c>
      <c r="G248" s="6" t="s">
        <v>31</v>
      </c>
      <c r="H248" s="7" t="n">
        <v>8.99</v>
      </c>
      <c r="I248" s="7"/>
      <c r="J248" s="7"/>
      <c r="K248" s="6" t="s">
        <v>32</v>
      </c>
      <c r="L248" s="6" t="s">
        <v>93</v>
      </c>
      <c r="M248" s="8" t="n">
        <f aca="false">IF(H248&lt;E248,(E248-H248)/H248,IF(H248&gt;F248,(F248-H248)/H248,0))</f>
        <v>0.279199110122358</v>
      </c>
      <c r="N248" s="9" t="s">
        <v>34</v>
      </c>
      <c r="O248" s="9" t="s">
        <v>34</v>
      </c>
    </row>
    <row r="249" customFormat="false" ht="15" hidden="false" customHeight="false" outlineLevel="0" collapsed="false">
      <c r="A249" s="6" t="s">
        <v>434</v>
      </c>
      <c r="B249" s="6" t="s">
        <v>364</v>
      </c>
      <c r="C249" s="6" t="s">
        <v>435</v>
      </c>
      <c r="D249" s="6" t="s">
        <v>433</v>
      </c>
      <c r="E249" s="7" t="n">
        <v>11.5</v>
      </c>
      <c r="F249" s="7" t="n">
        <v>11.5</v>
      </c>
      <c r="G249" s="6" t="s">
        <v>147</v>
      </c>
      <c r="H249" s="7" t="n">
        <v>8.28</v>
      </c>
      <c r="I249" s="7" t="n">
        <v>8.28</v>
      </c>
      <c r="J249" s="7" t="n">
        <v>10.26</v>
      </c>
      <c r="K249" s="6" t="s">
        <v>32</v>
      </c>
      <c r="L249" s="6" t="s">
        <v>93</v>
      </c>
      <c r="M249" s="8" t="n">
        <f aca="false">IF(H249&lt;E249,(E249-H249)/H249,IF(H249&gt;F249,(F249-H249)/H249,0))</f>
        <v>0.388888888888889</v>
      </c>
      <c r="N249" s="9" t="s">
        <v>34</v>
      </c>
      <c r="O249" s="9" t="s">
        <v>34</v>
      </c>
    </row>
    <row r="250" customFormat="false" ht="15" hidden="false" customHeight="false" outlineLevel="0" collapsed="false">
      <c r="A250" s="6" t="s">
        <v>434</v>
      </c>
      <c r="B250" s="6" t="s">
        <v>364</v>
      </c>
      <c r="C250" s="6" t="s">
        <v>435</v>
      </c>
      <c r="D250" s="6" t="s">
        <v>433</v>
      </c>
      <c r="E250" s="7" t="n">
        <v>11.5</v>
      </c>
      <c r="F250" s="7" t="n">
        <v>11.5</v>
      </c>
      <c r="G250" s="6" t="s">
        <v>105</v>
      </c>
      <c r="H250" s="7" t="n">
        <v>15.05</v>
      </c>
      <c r="I250" s="7"/>
      <c r="J250" s="7"/>
      <c r="K250" s="6" t="s">
        <v>106</v>
      </c>
      <c r="L250" s="6" t="s">
        <v>93</v>
      </c>
      <c r="M250" s="8" t="n">
        <f aca="false">IF(H250&lt;E250,(E250-H250)/H250,IF(H250&gt;F250,(F250-H250)/H250,0))</f>
        <v>-0.235880398671096</v>
      </c>
      <c r="N250" s="9" t="s">
        <v>34</v>
      </c>
      <c r="O250" s="9" t="s">
        <v>34</v>
      </c>
    </row>
    <row r="251" customFormat="false" ht="15" hidden="false" customHeight="false" outlineLevel="0" collapsed="false">
      <c r="A251" s="6" t="s">
        <v>434</v>
      </c>
      <c r="B251" s="6" t="s">
        <v>364</v>
      </c>
      <c r="C251" s="6" t="s">
        <v>435</v>
      </c>
      <c r="D251" s="6" t="s">
        <v>433</v>
      </c>
      <c r="E251" s="7" t="n">
        <v>11.5</v>
      </c>
      <c r="F251" s="7" t="n">
        <v>11.5</v>
      </c>
      <c r="G251" s="6" t="s">
        <v>226</v>
      </c>
      <c r="H251" s="7" t="n">
        <v>7.79</v>
      </c>
      <c r="I251" s="7"/>
      <c r="J251" s="7"/>
      <c r="K251" s="6" t="s">
        <v>40</v>
      </c>
      <c r="L251" s="6" t="s">
        <v>45</v>
      </c>
      <c r="M251" s="8" t="n">
        <f aca="false">IF(H251&lt;E251,(E251-H251)/H251,IF(H251&gt;F251,(F251-H251)/H251,0))</f>
        <v>0.476251604621309</v>
      </c>
      <c r="N251" s="9" t="s">
        <v>34</v>
      </c>
      <c r="O251" s="9" t="s">
        <v>34</v>
      </c>
    </row>
    <row r="252" customFormat="false" ht="15" hidden="false" customHeight="false" outlineLevel="0" collapsed="false">
      <c r="A252" s="6" t="s">
        <v>436</v>
      </c>
      <c r="B252" s="6" t="s">
        <v>364</v>
      </c>
      <c r="C252" s="6" t="s">
        <v>437</v>
      </c>
      <c r="D252" s="6" t="s">
        <v>433</v>
      </c>
      <c r="E252" s="7" t="n">
        <v>12.5</v>
      </c>
      <c r="F252" s="7" t="n">
        <v>12.5</v>
      </c>
      <c r="G252" s="6" t="s">
        <v>31</v>
      </c>
      <c r="H252" s="7" t="n">
        <v>8.99</v>
      </c>
      <c r="I252" s="7"/>
      <c r="J252" s="7"/>
      <c r="K252" s="6" t="s">
        <v>32</v>
      </c>
      <c r="L252" s="6" t="s">
        <v>93</v>
      </c>
      <c r="M252" s="8" t="n">
        <f aca="false">IF(H252&lt;E252,(E252-H252)/H252,IF(H252&gt;F252,(F252-H252)/H252,0))</f>
        <v>0.390433815350389</v>
      </c>
      <c r="N252" s="9" t="s">
        <v>34</v>
      </c>
      <c r="O252" s="9" t="s">
        <v>34</v>
      </c>
    </row>
    <row r="253" customFormat="false" ht="15" hidden="false" customHeight="false" outlineLevel="0" collapsed="false">
      <c r="A253" s="6" t="s">
        <v>436</v>
      </c>
      <c r="B253" s="6" t="s">
        <v>364</v>
      </c>
      <c r="C253" s="6" t="s">
        <v>437</v>
      </c>
      <c r="D253" s="6" t="s">
        <v>433</v>
      </c>
      <c r="E253" s="7" t="n">
        <v>12.5</v>
      </c>
      <c r="F253" s="7" t="n">
        <v>12.5</v>
      </c>
      <c r="G253" s="6" t="s">
        <v>147</v>
      </c>
      <c r="H253" s="7" t="n">
        <v>8.28</v>
      </c>
      <c r="I253" s="7" t="n">
        <v>8.28</v>
      </c>
      <c r="J253" s="7" t="n">
        <v>10.26</v>
      </c>
      <c r="K253" s="6" t="s">
        <v>32</v>
      </c>
      <c r="L253" s="6" t="s">
        <v>93</v>
      </c>
      <c r="M253" s="8" t="n">
        <f aca="false">IF(H253&lt;E253,(E253-H253)/H253,IF(H253&gt;F253,(F253-H253)/H253,0))</f>
        <v>0.509661835748792</v>
      </c>
      <c r="N253" s="9" t="s">
        <v>34</v>
      </c>
      <c r="O253" s="9" t="s">
        <v>34</v>
      </c>
    </row>
    <row r="254" customFormat="false" ht="15" hidden="false" customHeight="false" outlineLevel="0" collapsed="false">
      <c r="A254" s="6" t="s">
        <v>436</v>
      </c>
      <c r="B254" s="6" t="s">
        <v>364</v>
      </c>
      <c r="C254" s="6" t="s">
        <v>437</v>
      </c>
      <c r="D254" s="6" t="s">
        <v>433</v>
      </c>
      <c r="E254" s="7" t="n">
        <v>12.5</v>
      </c>
      <c r="F254" s="7" t="n">
        <v>12.5</v>
      </c>
      <c r="G254" s="6" t="s">
        <v>105</v>
      </c>
      <c r="H254" s="7" t="n">
        <v>15.05</v>
      </c>
      <c r="I254" s="7"/>
      <c r="J254" s="7"/>
      <c r="K254" s="6" t="s">
        <v>106</v>
      </c>
      <c r="L254" s="6" t="s">
        <v>93</v>
      </c>
      <c r="M254" s="8" t="n">
        <f aca="false">IF(H254&lt;E254,(E254-H254)/H254,IF(H254&gt;F254,(F254-H254)/H254,0))</f>
        <v>-0.169435215946844</v>
      </c>
      <c r="N254" s="9" t="s">
        <v>34</v>
      </c>
      <c r="O254" s="9" t="s">
        <v>34</v>
      </c>
    </row>
    <row r="255" customFormat="false" ht="15" hidden="false" customHeight="false" outlineLevel="0" collapsed="false">
      <c r="A255" s="6" t="s">
        <v>436</v>
      </c>
      <c r="B255" s="6" t="s">
        <v>364</v>
      </c>
      <c r="C255" s="6" t="s">
        <v>437</v>
      </c>
      <c r="D255" s="6" t="s">
        <v>433</v>
      </c>
      <c r="E255" s="7" t="n">
        <v>12.5</v>
      </c>
      <c r="F255" s="7" t="n">
        <v>12.5</v>
      </c>
      <c r="G255" s="6" t="s">
        <v>226</v>
      </c>
      <c r="H255" s="7" t="n">
        <v>10.32</v>
      </c>
      <c r="I255" s="7"/>
      <c r="J255" s="7"/>
      <c r="K255" s="6" t="s">
        <v>40</v>
      </c>
      <c r="L255" s="6" t="s">
        <v>45</v>
      </c>
      <c r="M255" s="8" t="n">
        <f aca="false">IF(H255&lt;E255,(E255-H255)/H255,IF(H255&gt;F255,(F255-H255)/H255,0))</f>
        <v>0.211240310077519</v>
      </c>
      <c r="N255" s="9" t="s">
        <v>34</v>
      </c>
      <c r="O255" s="9" t="s">
        <v>34</v>
      </c>
    </row>
    <row r="256" customFormat="false" ht="15" hidden="false" customHeight="false" outlineLevel="0" collapsed="false">
      <c r="A256" s="6" t="s">
        <v>438</v>
      </c>
      <c r="B256" s="6" t="s">
        <v>364</v>
      </c>
      <c r="C256" s="6" t="s">
        <v>439</v>
      </c>
      <c r="D256" s="6" t="s">
        <v>433</v>
      </c>
      <c r="E256" s="7" t="n">
        <v>12.9</v>
      </c>
      <c r="F256" s="7" t="n">
        <v>12.9</v>
      </c>
      <c r="G256" s="6" t="s">
        <v>31</v>
      </c>
      <c r="H256" s="7" t="n">
        <v>8.99</v>
      </c>
      <c r="I256" s="7"/>
      <c r="J256" s="7"/>
      <c r="K256" s="6" t="s">
        <v>32</v>
      </c>
      <c r="L256" s="6" t="s">
        <v>93</v>
      </c>
      <c r="M256" s="8" t="n">
        <f aca="false">IF(H256&lt;E256,(E256-H256)/H256,IF(H256&gt;F256,(F256-H256)/H256,0))</f>
        <v>0.434927697441602</v>
      </c>
      <c r="N256" s="9" t="s">
        <v>34</v>
      </c>
      <c r="O256" s="9" t="s">
        <v>34</v>
      </c>
    </row>
    <row r="257" customFormat="false" ht="15" hidden="false" customHeight="false" outlineLevel="0" collapsed="false">
      <c r="A257" s="6" t="s">
        <v>438</v>
      </c>
      <c r="B257" s="6" t="s">
        <v>364</v>
      </c>
      <c r="C257" s="6" t="s">
        <v>439</v>
      </c>
      <c r="D257" s="6" t="s">
        <v>433</v>
      </c>
      <c r="E257" s="7" t="n">
        <v>12.9</v>
      </c>
      <c r="F257" s="7" t="n">
        <v>12.9</v>
      </c>
      <c r="G257" s="6" t="s">
        <v>147</v>
      </c>
      <c r="H257" s="7" t="n">
        <v>8.28</v>
      </c>
      <c r="I257" s="7" t="n">
        <v>8.28</v>
      </c>
      <c r="J257" s="7" t="n">
        <v>10.26</v>
      </c>
      <c r="K257" s="6" t="s">
        <v>32</v>
      </c>
      <c r="L257" s="6" t="s">
        <v>93</v>
      </c>
      <c r="M257" s="8" t="n">
        <f aca="false">IF(H257&lt;E257,(E257-H257)/H257,IF(H257&gt;F257,(F257-H257)/H257,0))</f>
        <v>0.557971014492754</v>
      </c>
      <c r="N257" s="9" t="s">
        <v>34</v>
      </c>
      <c r="O257" s="9" t="s">
        <v>34</v>
      </c>
    </row>
    <row r="258" customFormat="false" ht="15" hidden="false" customHeight="false" outlineLevel="0" collapsed="false">
      <c r="A258" s="6" t="s">
        <v>438</v>
      </c>
      <c r="B258" s="6" t="s">
        <v>364</v>
      </c>
      <c r="C258" s="6" t="s">
        <v>439</v>
      </c>
      <c r="D258" s="6" t="s">
        <v>433</v>
      </c>
      <c r="E258" s="7" t="n">
        <v>12.9</v>
      </c>
      <c r="F258" s="7" t="n">
        <v>12.9</v>
      </c>
      <c r="G258" s="6" t="s">
        <v>105</v>
      </c>
      <c r="H258" s="7" t="n">
        <v>15.05</v>
      </c>
      <c r="I258" s="7"/>
      <c r="J258" s="7"/>
      <c r="K258" s="6" t="s">
        <v>106</v>
      </c>
      <c r="L258" s="6" t="s">
        <v>93</v>
      </c>
      <c r="M258" s="8" t="n">
        <f aca="false">IF(H258&lt;E258,(E258-H258)/H258,IF(H258&gt;F258,(F258-H258)/H258,0))</f>
        <v>-0.142857142857143</v>
      </c>
      <c r="N258" s="9" t="s">
        <v>34</v>
      </c>
      <c r="O258" s="9" t="s">
        <v>34</v>
      </c>
    </row>
    <row r="259" customFormat="false" ht="15" hidden="false" customHeight="false" outlineLevel="0" collapsed="false">
      <c r="A259" s="6" t="s">
        <v>438</v>
      </c>
      <c r="B259" s="6" t="s">
        <v>364</v>
      </c>
      <c r="C259" s="6" t="s">
        <v>439</v>
      </c>
      <c r="D259" s="6" t="s">
        <v>433</v>
      </c>
      <c r="E259" s="7" t="n">
        <v>12.9</v>
      </c>
      <c r="F259" s="7" t="n">
        <v>12.9</v>
      </c>
      <c r="G259" s="6" t="s">
        <v>226</v>
      </c>
      <c r="H259" s="7" t="n">
        <v>8.34</v>
      </c>
      <c r="I259" s="7"/>
      <c r="J259" s="7"/>
      <c r="K259" s="6" t="s">
        <v>40</v>
      </c>
      <c r="L259" s="6" t="s">
        <v>45</v>
      </c>
      <c r="M259" s="8" t="n">
        <f aca="false">IF(H259&lt;E259,(E259-H259)/H259,IF(H259&gt;F259,(F259-H259)/H259,0))</f>
        <v>0.546762589928058</v>
      </c>
      <c r="N259" s="9" t="s">
        <v>34</v>
      </c>
      <c r="O259" s="9" t="s">
        <v>34</v>
      </c>
    </row>
    <row r="260" customFormat="false" ht="15" hidden="false" customHeight="false" outlineLevel="0" collapsed="false">
      <c r="A260" s="6" t="s">
        <v>440</v>
      </c>
      <c r="B260" s="6" t="s">
        <v>364</v>
      </c>
      <c r="C260" s="6" t="s">
        <v>441</v>
      </c>
      <c r="D260" s="6" t="s">
        <v>433</v>
      </c>
      <c r="E260" s="7" t="n">
        <v>13.3</v>
      </c>
      <c r="F260" s="7" t="n">
        <v>13.3</v>
      </c>
      <c r="G260" s="6" t="s">
        <v>31</v>
      </c>
      <c r="H260" s="7" t="n">
        <v>8.99</v>
      </c>
      <c r="I260" s="7"/>
      <c r="J260" s="7"/>
      <c r="K260" s="6" t="s">
        <v>32</v>
      </c>
      <c r="L260" s="6" t="s">
        <v>93</v>
      </c>
      <c r="M260" s="8" t="n">
        <f aca="false">IF(H260&lt;E260,(E260-H260)/H260,IF(H260&gt;F260,(F260-H260)/H260,0))</f>
        <v>0.479421579532814</v>
      </c>
      <c r="N260" s="9" t="s">
        <v>34</v>
      </c>
      <c r="O260" s="9" t="s">
        <v>34</v>
      </c>
    </row>
    <row r="261" customFormat="false" ht="15" hidden="false" customHeight="false" outlineLevel="0" collapsed="false">
      <c r="A261" s="6" t="s">
        <v>440</v>
      </c>
      <c r="B261" s="6" t="s">
        <v>364</v>
      </c>
      <c r="C261" s="6" t="s">
        <v>441</v>
      </c>
      <c r="D261" s="6" t="s">
        <v>433</v>
      </c>
      <c r="E261" s="7" t="n">
        <v>13.3</v>
      </c>
      <c r="F261" s="7" t="n">
        <v>13.3</v>
      </c>
      <c r="G261" s="6" t="s">
        <v>147</v>
      </c>
      <c r="H261" s="7" t="n">
        <v>8.28</v>
      </c>
      <c r="I261" s="7" t="n">
        <v>8.28</v>
      </c>
      <c r="J261" s="7" t="n">
        <v>10.26</v>
      </c>
      <c r="K261" s="6" t="s">
        <v>32</v>
      </c>
      <c r="L261" s="6" t="s">
        <v>93</v>
      </c>
      <c r="M261" s="8" t="n">
        <f aca="false">IF(H261&lt;E261,(E261-H261)/H261,IF(H261&gt;F261,(F261-H261)/H261,0))</f>
        <v>0.606280193236715</v>
      </c>
      <c r="N261" s="9" t="s">
        <v>34</v>
      </c>
      <c r="O261" s="9" t="s">
        <v>34</v>
      </c>
    </row>
    <row r="262" customFormat="false" ht="15" hidden="false" customHeight="false" outlineLevel="0" collapsed="false">
      <c r="A262" s="6" t="s">
        <v>440</v>
      </c>
      <c r="B262" s="6" t="s">
        <v>364</v>
      </c>
      <c r="C262" s="6" t="s">
        <v>441</v>
      </c>
      <c r="D262" s="6" t="s">
        <v>433</v>
      </c>
      <c r="E262" s="7" t="n">
        <v>13.3</v>
      </c>
      <c r="F262" s="7" t="n">
        <v>13.3</v>
      </c>
      <c r="G262" s="6" t="s">
        <v>105</v>
      </c>
      <c r="H262" s="7" t="n">
        <v>15.05</v>
      </c>
      <c r="I262" s="7"/>
      <c r="J262" s="7"/>
      <c r="K262" s="6" t="s">
        <v>106</v>
      </c>
      <c r="L262" s="6" t="s">
        <v>93</v>
      </c>
      <c r="M262" s="8" t="n">
        <f aca="false">IF(H262&lt;E262,(E262-H262)/H262,IF(H262&gt;F262,(F262-H262)/H262,0))</f>
        <v>-0.116279069767442</v>
      </c>
      <c r="N262" s="9" t="s">
        <v>34</v>
      </c>
      <c r="O262" s="9" t="s">
        <v>34</v>
      </c>
    </row>
    <row r="263" customFormat="false" ht="15" hidden="false" customHeight="false" outlineLevel="0" collapsed="false">
      <c r="A263" s="6" t="s">
        <v>440</v>
      </c>
      <c r="B263" s="6" t="s">
        <v>364</v>
      </c>
      <c r="C263" s="6" t="s">
        <v>441</v>
      </c>
      <c r="D263" s="6" t="s">
        <v>433</v>
      </c>
      <c r="E263" s="7" t="n">
        <v>13.3</v>
      </c>
      <c r="F263" s="7" t="n">
        <v>13.3</v>
      </c>
      <c r="G263" s="6" t="s">
        <v>226</v>
      </c>
      <c r="H263" s="7" t="n">
        <v>11.6</v>
      </c>
      <c r="I263" s="7"/>
      <c r="J263" s="7"/>
      <c r="K263" s="6" t="s">
        <v>40</v>
      </c>
      <c r="L263" s="6" t="s">
        <v>45</v>
      </c>
      <c r="M263" s="8" t="n">
        <f aca="false">IF(H263&lt;E263,(E263-H263)/H263,IF(H263&gt;F263,(F263-H263)/H263,0))</f>
        <v>0.146551724137931</v>
      </c>
      <c r="N263" s="9" t="s">
        <v>34</v>
      </c>
      <c r="O263" s="9" t="s">
        <v>34</v>
      </c>
    </row>
    <row r="264" customFormat="false" ht="15" hidden="false" customHeight="false" outlineLevel="0" collapsed="false">
      <c r="A264" s="6" t="s">
        <v>442</v>
      </c>
      <c r="B264" s="6" t="s">
        <v>364</v>
      </c>
      <c r="C264" s="6" t="s">
        <v>443</v>
      </c>
      <c r="D264" s="6" t="s">
        <v>38</v>
      </c>
      <c r="E264" s="7" t="n">
        <v>10.9</v>
      </c>
      <c r="F264" s="7" t="n">
        <v>10.9</v>
      </c>
      <c r="G264" s="6" t="s">
        <v>31</v>
      </c>
      <c r="H264" s="7" t="n">
        <v>9.49</v>
      </c>
      <c r="I264" s="7"/>
      <c r="J264" s="7"/>
      <c r="K264" s="6" t="s">
        <v>32</v>
      </c>
      <c r="L264" s="6" t="s">
        <v>93</v>
      </c>
      <c r="M264" s="8" t="n">
        <f aca="false">IF(H264&lt;E264,(E264-H264)/H264,IF(H264&gt;F264,(F264-H264)/H264,0))</f>
        <v>0.148577449947313</v>
      </c>
      <c r="N264" s="9" t="s">
        <v>34</v>
      </c>
      <c r="O264" s="9" t="s">
        <v>34</v>
      </c>
    </row>
    <row r="265" customFormat="false" ht="15" hidden="false" customHeight="false" outlineLevel="0" collapsed="false">
      <c r="A265" s="6" t="s">
        <v>442</v>
      </c>
      <c r="B265" s="6" t="s">
        <v>364</v>
      </c>
      <c r="C265" s="6" t="s">
        <v>443</v>
      </c>
      <c r="D265" s="6" t="s">
        <v>38</v>
      </c>
      <c r="E265" s="7" t="n">
        <v>10.9</v>
      </c>
      <c r="F265" s="7" t="n">
        <v>10.9</v>
      </c>
      <c r="G265" s="6" t="s">
        <v>226</v>
      </c>
      <c r="H265" s="7" t="n">
        <v>10.63</v>
      </c>
      <c r="I265" s="7"/>
      <c r="J265" s="7"/>
      <c r="K265" s="6" t="s">
        <v>32</v>
      </c>
      <c r="L265" s="6" t="s">
        <v>45</v>
      </c>
      <c r="M265" s="8" t="n">
        <f aca="false">IF(H265&lt;E265,(E265-H265)/H265,IF(H265&gt;F265,(F265-H265)/H265,0))</f>
        <v>0.0253998118532455</v>
      </c>
      <c r="N265" s="9" t="s">
        <v>34</v>
      </c>
      <c r="O265" s="9" t="s">
        <v>34</v>
      </c>
    </row>
    <row r="266" customFormat="false" ht="15" hidden="false" customHeight="false" outlineLevel="0" collapsed="false">
      <c r="A266" s="6" t="s">
        <v>444</v>
      </c>
      <c r="B266" s="6" t="s">
        <v>364</v>
      </c>
      <c r="C266" s="6" t="s">
        <v>445</v>
      </c>
      <c r="D266" s="6" t="s">
        <v>38</v>
      </c>
      <c r="E266" s="7" t="n">
        <v>12.95</v>
      </c>
      <c r="F266" s="7" t="n">
        <v>12.95</v>
      </c>
      <c r="G266" s="6" t="s">
        <v>31</v>
      </c>
      <c r="H266" s="7" t="n">
        <v>9.49</v>
      </c>
      <c r="I266" s="7"/>
      <c r="J266" s="7"/>
      <c r="K266" s="6" t="s">
        <v>32</v>
      </c>
      <c r="L266" s="6" t="s">
        <v>93</v>
      </c>
      <c r="M266" s="8" t="n">
        <f aca="false">IF(H266&lt;E266,(E266-H266)/H266,IF(H266&gt;F266,(F266-H266)/H266,0))</f>
        <v>0.364594309799789</v>
      </c>
      <c r="N266" s="9" t="s">
        <v>34</v>
      </c>
      <c r="O266" s="9" t="s">
        <v>34</v>
      </c>
    </row>
    <row r="267" customFormat="false" ht="15" hidden="false" customHeight="false" outlineLevel="0" collapsed="false">
      <c r="A267" s="6" t="s">
        <v>444</v>
      </c>
      <c r="B267" s="6" t="s">
        <v>364</v>
      </c>
      <c r="C267" s="6" t="s">
        <v>445</v>
      </c>
      <c r="D267" s="6" t="s">
        <v>38</v>
      </c>
      <c r="E267" s="7" t="n">
        <v>12.95</v>
      </c>
      <c r="F267" s="7" t="n">
        <v>12.95</v>
      </c>
      <c r="G267" s="6" t="s">
        <v>226</v>
      </c>
      <c r="H267" s="7" t="n">
        <v>10.32</v>
      </c>
      <c r="I267" s="7"/>
      <c r="J267" s="7"/>
      <c r="K267" s="6" t="s">
        <v>40</v>
      </c>
      <c r="L267" s="6" t="s">
        <v>45</v>
      </c>
      <c r="M267" s="8" t="n">
        <f aca="false">IF(H267&lt;E267,(E267-H267)/H267,IF(H267&gt;F267,(F267-H267)/H267,0))</f>
        <v>0.25484496124031</v>
      </c>
      <c r="N267" s="9" t="s">
        <v>34</v>
      </c>
      <c r="O267" s="9" t="s">
        <v>34</v>
      </c>
    </row>
    <row r="268" customFormat="false" ht="15" hidden="false" customHeight="false" outlineLevel="0" collapsed="false">
      <c r="A268" s="6" t="s">
        <v>446</v>
      </c>
      <c r="B268" s="6" t="s">
        <v>364</v>
      </c>
      <c r="C268" s="6" t="s">
        <v>447</v>
      </c>
      <c r="D268" s="6" t="s">
        <v>38</v>
      </c>
      <c r="E268" s="7" t="n">
        <v>13.5</v>
      </c>
      <c r="F268" s="7" t="n">
        <v>13.5</v>
      </c>
      <c r="G268" s="6" t="s">
        <v>31</v>
      </c>
      <c r="H268" s="7" t="n">
        <v>9.49</v>
      </c>
      <c r="I268" s="7"/>
      <c r="J268" s="7"/>
      <c r="K268" s="6" t="s">
        <v>32</v>
      </c>
      <c r="L268" s="6" t="s">
        <v>93</v>
      </c>
      <c r="M268" s="8" t="n">
        <f aca="false">IF(H268&lt;E268,(E268-H268)/H268,IF(H268&gt;F268,(F268-H268)/H268,0))</f>
        <v>0.422550052687039</v>
      </c>
      <c r="N268" s="9" t="s">
        <v>34</v>
      </c>
      <c r="O268" s="9" t="s">
        <v>34</v>
      </c>
    </row>
    <row r="269" customFormat="false" ht="15" hidden="false" customHeight="false" outlineLevel="0" collapsed="false">
      <c r="A269" s="6" t="s">
        <v>446</v>
      </c>
      <c r="B269" s="6" t="s">
        <v>364</v>
      </c>
      <c r="C269" s="6" t="s">
        <v>447</v>
      </c>
      <c r="D269" s="6" t="s">
        <v>38</v>
      </c>
      <c r="E269" s="7" t="n">
        <v>13.5</v>
      </c>
      <c r="F269" s="7" t="n">
        <v>13.5</v>
      </c>
      <c r="G269" s="6" t="s">
        <v>226</v>
      </c>
      <c r="H269" s="7" t="n">
        <v>12.87</v>
      </c>
      <c r="I269" s="7"/>
      <c r="J269" s="7"/>
      <c r="K269" s="6" t="s">
        <v>40</v>
      </c>
      <c r="L269" s="6" t="s">
        <v>45</v>
      </c>
      <c r="M269" s="8" t="n">
        <f aca="false">IF(H269&lt;E269,(E269-H269)/H269,IF(H269&gt;F269,(F269-H269)/H269,0))</f>
        <v>0.048951048951049</v>
      </c>
      <c r="N269" s="9" t="s">
        <v>34</v>
      </c>
      <c r="O269" s="9" t="s">
        <v>34</v>
      </c>
    </row>
    <row r="270" customFormat="false" ht="15" hidden="false" customHeight="false" outlineLevel="0" collapsed="false">
      <c r="A270" s="6" t="s">
        <v>448</v>
      </c>
      <c r="B270" s="6" t="s">
        <v>364</v>
      </c>
      <c r="C270" s="6" t="s">
        <v>449</v>
      </c>
      <c r="D270" s="6" t="s">
        <v>38</v>
      </c>
      <c r="E270" s="7" t="n">
        <v>14.5</v>
      </c>
      <c r="F270" s="7" t="n">
        <v>14.5</v>
      </c>
      <c r="G270" s="6" t="s">
        <v>31</v>
      </c>
      <c r="H270" s="7" t="n">
        <v>9.49</v>
      </c>
      <c r="I270" s="7"/>
      <c r="J270" s="7"/>
      <c r="K270" s="6" t="s">
        <v>32</v>
      </c>
      <c r="L270" s="6" t="s">
        <v>93</v>
      </c>
      <c r="M270" s="8" t="n">
        <f aca="false">IF(H270&lt;E270,(E270-H270)/H270,IF(H270&gt;F270,(F270-H270)/H270,0))</f>
        <v>0.527924130663857</v>
      </c>
      <c r="N270" s="9" t="s">
        <v>34</v>
      </c>
      <c r="O270" s="9" t="s">
        <v>34</v>
      </c>
    </row>
    <row r="271" customFormat="false" ht="15" hidden="false" customHeight="false" outlineLevel="0" collapsed="false">
      <c r="A271" s="6" t="s">
        <v>448</v>
      </c>
      <c r="B271" s="6" t="s">
        <v>364</v>
      </c>
      <c r="C271" s="6" t="s">
        <v>449</v>
      </c>
      <c r="D271" s="6" t="s">
        <v>38</v>
      </c>
      <c r="E271" s="7" t="n">
        <v>14.5</v>
      </c>
      <c r="F271" s="7" t="n">
        <v>14.5</v>
      </c>
      <c r="G271" s="6" t="s">
        <v>226</v>
      </c>
      <c r="H271" s="7" t="n">
        <v>13.65</v>
      </c>
      <c r="I271" s="7"/>
      <c r="J271" s="7"/>
      <c r="K271" s="6" t="s">
        <v>40</v>
      </c>
      <c r="L271" s="6" t="s">
        <v>45</v>
      </c>
      <c r="M271" s="8" t="n">
        <f aca="false">IF(H271&lt;E271,(E271-H271)/H271,IF(H271&gt;F271,(F271-H271)/H271,0))</f>
        <v>0.0622710622710622</v>
      </c>
      <c r="N271" s="9" t="s">
        <v>34</v>
      </c>
      <c r="O271" s="9" t="s">
        <v>34</v>
      </c>
    </row>
    <row r="272" customFormat="false" ht="15" hidden="false" customHeight="false" outlineLevel="0" collapsed="false">
      <c r="A272" s="6" t="s">
        <v>450</v>
      </c>
      <c r="B272" s="6" t="s">
        <v>364</v>
      </c>
      <c r="C272" s="6" t="s">
        <v>451</v>
      </c>
      <c r="D272" s="6" t="s">
        <v>38</v>
      </c>
      <c r="E272" s="7" t="n">
        <v>16.2</v>
      </c>
      <c r="F272" s="7" t="n">
        <v>16.2</v>
      </c>
      <c r="G272" s="6" t="s">
        <v>31</v>
      </c>
      <c r="H272" s="7" t="n">
        <v>9.49</v>
      </c>
      <c r="I272" s="7"/>
      <c r="J272" s="7"/>
      <c r="K272" s="6" t="s">
        <v>32</v>
      </c>
      <c r="L272" s="6" t="s">
        <v>93</v>
      </c>
      <c r="M272" s="8" t="n">
        <f aca="false">IF(H272&lt;E272,(E272-H272)/H272,IF(H272&gt;F272,(F272-H272)/H272,0))</f>
        <v>0.707060063224447</v>
      </c>
      <c r="N272" s="9" t="s">
        <v>34</v>
      </c>
      <c r="O272" s="9" t="s">
        <v>34</v>
      </c>
    </row>
    <row r="273" customFormat="false" ht="15" hidden="false" customHeight="false" outlineLevel="0" collapsed="false">
      <c r="A273" s="6" t="s">
        <v>450</v>
      </c>
      <c r="B273" s="6" t="s">
        <v>364</v>
      </c>
      <c r="C273" s="6" t="s">
        <v>451</v>
      </c>
      <c r="D273" s="6" t="s">
        <v>38</v>
      </c>
      <c r="E273" s="7" t="n">
        <v>16.2</v>
      </c>
      <c r="F273" s="7" t="n">
        <v>16.2</v>
      </c>
      <c r="G273" s="6" t="s">
        <v>226</v>
      </c>
      <c r="H273" s="7" t="n">
        <v>15.52</v>
      </c>
      <c r="I273" s="7"/>
      <c r="J273" s="7"/>
      <c r="K273" s="6" t="s">
        <v>40</v>
      </c>
      <c r="L273" s="6" t="s">
        <v>45</v>
      </c>
      <c r="M273" s="8" t="n">
        <f aca="false">IF(H273&lt;E273,(E273-H273)/H273,IF(H273&gt;F273,(F273-H273)/H273,0))</f>
        <v>0.0438144329896907</v>
      </c>
      <c r="N273" s="9" t="s">
        <v>34</v>
      </c>
      <c r="O273" s="9" t="s">
        <v>34</v>
      </c>
    </row>
    <row r="274" customFormat="false" ht="15" hidden="false" customHeight="false" outlineLevel="0" collapsed="false">
      <c r="A274" s="6" t="s">
        <v>452</v>
      </c>
      <c r="B274" s="6" t="s">
        <v>364</v>
      </c>
      <c r="C274" s="6" t="s">
        <v>453</v>
      </c>
      <c r="D274" s="6" t="s">
        <v>38</v>
      </c>
      <c r="E274" s="7" t="n">
        <v>16.2</v>
      </c>
      <c r="F274" s="7" t="n">
        <v>16.2</v>
      </c>
      <c r="G274" s="6" t="s">
        <v>31</v>
      </c>
      <c r="H274" s="7" t="n">
        <v>9.49</v>
      </c>
      <c r="I274" s="7"/>
      <c r="J274" s="7"/>
      <c r="K274" s="6" t="s">
        <v>32</v>
      </c>
      <c r="L274" s="6" t="s">
        <v>93</v>
      </c>
      <c r="M274" s="8" t="n">
        <f aca="false">IF(H274&lt;E274,(E274-H274)/H274,IF(H274&gt;F274,(F274-H274)/H274,0))</f>
        <v>0.707060063224447</v>
      </c>
      <c r="N274" s="9" t="s">
        <v>34</v>
      </c>
      <c r="O274" s="9" t="s">
        <v>34</v>
      </c>
    </row>
    <row r="275" customFormat="false" ht="15" hidden="false" customHeight="false" outlineLevel="0" collapsed="false">
      <c r="A275" s="6" t="s">
        <v>452</v>
      </c>
      <c r="B275" s="6" t="s">
        <v>364</v>
      </c>
      <c r="C275" s="6" t="s">
        <v>453</v>
      </c>
      <c r="D275" s="6" t="s">
        <v>38</v>
      </c>
      <c r="E275" s="7" t="n">
        <v>16.2</v>
      </c>
      <c r="F275" s="7" t="n">
        <v>16.2</v>
      </c>
      <c r="G275" s="6" t="s">
        <v>226</v>
      </c>
      <c r="H275" s="7" t="n">
        <v>10.32</v>
      </c>
      <c r="I275" s="7"/>
      <c r="J275" s="7"/>
      <c r="K275" s="6" t="s">
        <v>40</v>
      </c>
      <c r="L275" s="6" t="s">
        <v>93</v>
      </c>
      <c r="M275" s="8" t="n">
        <f aca="false">IF(H275&lt;E275,(E275-H275)/H275,IF(H275&gt;F275,(F275-H275)/H275,0))</f>
        <v>0.569767441860465</v>
      </c>
      <c r="N275" s="9" t="s">
        <v>34</v>
      </c>
      <c r="O275" s="9" t="s">
        <v>34</v>
      </c>
    </row>
    <row r="276" customFormat="false" ht="15" hidden="false" customHeight="false" outlineLevel="0" collapsed="false">
      <c r="A276" s="6" t="s">
        <v>454</v>
      </c>
      <c r="B276" s="6" t="s">
        <v>364</v>
      </c>
      <c r="C276" s="6" t="s">
        <v>455</v>
      </c>
      <c r="D276" s="6" t="s">
        <v>433</v>
      </c>
      <c r="E276" s="7" t="n">
        <v>10.5</v>
      </c>
      <c r="F276" s="7" t="n">
        <v>10.5</v>
      </c>
      <c r="G276" s="6" t="s">
        <v>31</v>
      </c>
      <c r="H276" s="7" t="n">
        <v>8.99</v>
      </c>
      <c r="I276" s="7"/>
      <c r="J276" s="7"/>
      <c r="K276" s="6" t="s">
        <v>32</v>
      </c>
      <c r="L276" s="6" t="s">
        <v>93</v>
      </c>
      <c r="M276" s="8" t="n">
        <f aca="false">IF(H276&lt;E276,(E276-H276)/H276,IF(H276&gt;F276,(F276-H276)/H276,0))</f>
        <v>0.167964404894327</v>
      </c>
      <c r="N276" s="9" t="s">
        <v>34</v>
      </c>
      <c r="O276" s="9" t="s">
        <v>34</v>
      </c>
    </row>
    <row r="277" customFormat="false" ht="15" hidden="false" customHeight="false" outlineLevel="0" collapsed="false">
      <c r="A277" s="6" t="s">
        <v>454</v>
      </c>
      <c r="B277" s="6" t="s">
        <v>364</v>
      </c>
      <c r="C277" s="6" t="s">
        <v>455</v>
      </c>
      <c r="D277" s="6" t="s">
        <v>433</v>
      </c>
      <c r="E277" s="7" t="n">
        <v>10.5</v>
      </c>
      <c r="F277" s="7" t="n">
        <v>10.5</v>
      </c>
      <c r="G277" s="6" t="s">
        <v>105</v>
      </c>
      <c r="H277" s="7" t="n">
        <v>15.05</v>
      </c>
      <c r="I277" s="7"/>
      <c r="J277" s="7"/>
      <c r="K277" s="6" t="s">
        <v>106</v>
      </c>
      <c r="L277" s="6" t="s">
        <v>93</v>
      </c>
      <c r="M277" s="8" t="n">
        <f aca="false">IF(H277&lt;E277,(E277-H277)/H277,IF(H277&gt;F277,(F277-H277)/H277,0))</f>
        <v>-0.302325581395349</v>
      </c>
      <c r="N277" s="9" t="s">
        <v>34</v>
      </c>
      <c r="O277" s="9" t="s">
        <v>34</v>
      </c>
    </row>
    <row r="278" customFormat="false" ht="15" hidden="false" customHeight="false" outlineLevel="0" collapsed="false">
      <c r="A278" s="6" t="s">
        <v>454</v>
      </c>
      <c r="B278" s="6" t="s">
        <v>364</v>
      </c>
      <c r="C278" s="6" t="s">
        <v>455</v>
      </c>
      <c r="D278" s="6" t="s">
        <v>433</v>
      </c>
      <c r="E278" s="7" t="n">
        <v>10.5</v>
      </c>
      <c r="F278" s="7" t="n">
        <v>10.5</v>
      </c>
      <c r="G278" s="6" t="s">
        <v>226</v>
      </c>
      <c r="H278" s="7" t="n">
        <v>8.8</v>
      </c>
      <c r="I278" s="7"/>
      <c r="J278" s="7"/>
      <c r="K278" s="6" t="s">
        <v>40</v>
      </c>
      <c r="L278" s="6" t="s">
        <v>45</v>
      </c>
      <c r="M278" s="8" t="n">
        <f aca="false">IF(H278&lt;E278,(E278-H278)/H278,IF(H278&gt;F278,(F278-H278)/H278,0))</f>
        <v>0.193181818181818</v>
      </c>
      <c r="N278" s="9" t="s">
        <v>34</v>
      </c>
      <c r="O278" s="9" t="s">
        <v>34</v>
      </c>
    </row>
    <row r="279" customFormat="false" ht="15" hidden="false" customHeight="false" outlineLevel="0" collapsed="false">
      <c r="A279" s="6" t="s">
        <v>456</v>
      </c>
      <c r="B279" s="6" t="s">
        <v>364</v>
      </c>
      <c r="C279" s="6" t="s">
        <v>457</v>
      </c>
      <c r="D279" s="6" t="s">
        <v>38</v>
      </c>
      <c r="E279" s="7" t="n">
        <v>13.5</v>
      </c>
      <c r="F279" s="7" t="n">
        <v>13.5</v>
      </c>
      <c r="G279" s="6" t="s">
        <v>31</v>
      </c>
      <c r="H279" s="7" t="n">
        <v>8.99</v>
      </c>
      <c r="I279" s="7"/>
      <c r="J279" s="7"/>
      <c r="K279" s="6" t="s">
        <v>32</v>
      </c>
      <c r="L279" s="6" t="s">
        <v>93</v>
      </c>
      <c r="M279" s="8" t="n">
        <f aca="false">IF(H279&lt;E279,(E279-H279)/H279,IF(H279&gt;F279,(F279-H279)/H279,0))</f>
        <v>0.501668520578421</v>
      </c>
      <c r="N279" s="9" t="s">
        <v>34</v>
      </c>
      <c r="O279" s="9" t="s">
        <v>34</v>
      </c>
    </row>
    <row r="280" customFormat="false" ht="15" hidden="false" customHeight="false" outlineLevel="0" collapsed="false">
      <c r="A280" s="6" t="s">
        <v>456</v>
      </c>
      <c r="B280" s="6" t="s">
        <v>364</v>
      </c>
      <c r="C280" s="6" t="s">
        <v>457</v>
      </c>
      <c r="D280" s="6" t="s">
        <v>38</v>
      </c>
      <c r="E280" s="7" t="n">
        <v>13.5</v>
      </c>
      <c r="F280" s="7" t="n">
        <v>13.5</v>
      </c>
      <c r="G280" s="6" t="s">
        <v>105</v>
      </c>
      <c r="H280" s="7" t="n">
        <v>15.05</v>
      </c>
      <c r="I280" s="7"/>
      <c r="J280" s="7"/>
      <c r="K280" s="6" t="s">
        <v>106</v>
      </c>
      <c r="L280" s="6" t="s">
        <v>93</v>
      </c>
      <c r="M280" s="8" t="n">
        <f aca="false">IF(H280&lt;E280,(E280-H280)/H280,IF(H280&gt;F280,(F280-H280)/H280,0))</f>
        <v>-0.102990033222591</v>
      </c>
      <c r="N280" s="9" t="s">
        <v>34</v>
      </c>
      <c r="O280" s="9" t="s">
        <v>34</v>
      </c>
    </row>
    <row r="281" customFormat="false" ht="15" hidden="false" customHeight="false" outlineLevel="0" collapsed="false">
      <c r="A281" s="6" t="s">
        <v>456</v>
      </c>
      <c r="B281" s="6" t="s">
        <v>364</v>
      </c>
      <c r="C281" s="6" t="s">
        <v>457</v>
      </c>
      <c r="D281" s="6" t="s">
        <v>38</v>
      </c>
      <c r="E281" s="7" t="n">
        <v>13.5</v>
      </c>
      <c r="F281" s="7" t="n">
        <v>13.5</v>
      </c>
      <c r="G281" s="6" t="s">
        <v>226</v>
      </c>
      <c r="H281" s="7" t="n">
        <v>12.72</v>
      </c>
      <c r="I281" s="7"/>
      <c r="J281" s="7"/>
      <c r="K281" s="6" t="s">
        <v>40</v>
      </c>
      <c r="L281" s="6" t="s">
        <v>45</v>
      </c>
      <c r="M281" s="8" t="n">
        <f aca="false">IF(H281&lt;E281,(E281-H281)/H281,IF(H281&gt;F281,(F281-H281)/H281,0))</f>
        <v>0.0613207547169811</v>
      </c>
      <c r="N281" s="9" t="s">
        <v>34</v>
      </c>
      <c r="O281" s="9" t="s">
        <v>34</v>
      </c>
    </row>
    <row r="282" customFormat="false" ht="15" hidden="false" customHeight="false" outlineLevel="0" collapsed="false">
      <c r="A282" s="6" t="s">
        <v>458</v>
      </c>
      <c r="B282" s="6" t="s">
        <v>364</v>
      </c>
      <c r="C282" s="6" t="s">
        <v>459</v>
      </c>
      <c r="D282" s="6" t="s">
        <v>433</v>
      </c>
      <c r="E282" s="7" t="n">
        <v>15.9</v>
      </c>
      <c r="F282" s="7" t="n">
        <v>15.9</v>
      </c>
      <c r="G282" s="6" t="s">
        <v>31</v>
      </c>
      <c r="H282" s="7" t="n">
        <v>8.99</v>
      </c>
      <c r="I282" s="7"/>
      <c r="J282" s="7"/>
      <c r="K282" s="6" t="s">
        <v>32</v>
      </c>
      <c r="L282" s="6" t="s">
        <v>93</v>
      </c>
      <c r="M282" s="8" t="n">
        <f aca="false">IF(H282&lt;E282,(E282-H282)/H282,IF(H282&gt;F282,(F282-H282)/H282,0))</f>
        <v>0.768631813125695</v>
      </c>
      <c r="N282" s="9" t="s">
        <v>34</v>
      </c>
      <c r="O282" s="9" t="s">
        <v>34</v>
      </c>
    </row>
    <row r="283" customFormat="false" ht="15" hidden="false" customHeight="false" outlineLevel="0" collapsed="false">
      <c r="A283" s="6" t="s">
        <v>458</v>
      </c>
      <c r="B283" s="6" t="s">
        <v>364</v>
      </c>
      <c r="C283" s="6" t="s">
        <v>459</v>
      </c>
      <c r="D283" s="6" t="s">
        <v>433</v>
      </c>
      <c r="E283" s="7" t="n">
        <v>15.9</v>
      </c>
      <c r="F283" s="7" t="n">
        <v>15.9</v>
      </c>
      <c r="G283" s="6" t="s">
        <v>105</v>
      </c>
      <c r="H283" s="7" t="n">
        <v>15.05</v>
      </c>
      <c r="I283" s="7"/>
      <c r="J283" s="7"/>
      <c r="K283" s="6" t="s">
        <v>106</v>
      </c>
      <c r="L283" s="6" t="s">
        <v>93</v>
      </c>
      <c r="M283" s="8" t="n">
        <f aca="false">IF(H283&lt;E283,(E283-H283)/H283,IF(H283&gt;F283,(F283-H283)/H283,0))</f>
        <v>0.0564784053156146</v>
      </c>
      <c r="N283" s="9" t="s">
        <v>34</v>
      </c>
      <c r="O283" s="9" t="s">
        <v>34</v>
      </c>
    </row>
    <row r="284" customFormat="false" ht="15" hidden="false" customHeight="false" outlineLevel="0" collapsed="false">
      <c r="A284" s="6" t="s">
        <v>458</v>
      </c>
      <c r="B284" s="6" t="s">
        <v>364</v>
      </c>
      <c r="C284" s="6" t="s">
        <v>459</v>
      </c>
      <c r="D284" s="6" t="s">
        <v>433</v>
      </c>
      <c r="E284" s="7" t="n">
        <v>15.9</v>
      </c>
      <c r="F284" s="7" t="n">
        <v>15.9</v>
      </c>
      <c r="G284" s="6" t="s">
        <v>226</v>
      </c>
      <c r="H284" s="7" t="n">
        <v>11.92</v>
      </c>
      <c r="I284" s="7"/>
      <c r="J284" s="7"/>
      <c r="K284" s="6" t="s">
        <v>40</v>
      </c>
      <c r="L284" s="6" t="s">
        <v>45</v>
      </c>
      <c r="M284" s="8" t="n">
        <f aca="false">IF(H284&lt;E284,(E284-H284)/H284,IF(H284&gt;F284,(F284-H284)/H284,0))</f>
        <v>0.333892617449665</v>
      </c>
      <c r="N284" s="9" t="s">
        <v>34</v>
      </c>
      <c r="O284" s="9" t="s">
        <v>34</v>
      </c>
    </row>
    <row r="285" customFormat="false" ht="15" hidden="false" customHeight="false" outlineLevel="0" collapsed="false">
      <c r="A285" s="6" t="s">
        <v>460</v>
      </c>
      <c r="B285" s="6" t="s">
        <v>364</v>
      </c>
      <c r="C285" s="6" t="s">
        <v>461</v>
      </c>
      <c r="D285" s="6" t="s">
        <v>433</v>
      </c>
      <c r="E285" s="7" t="n">
        <v>10.5</v>
      </c>
      <c r="F285" s="7" t="n">
        <v>10.5</v>
      </c>
      <c r="G285" s="6" t="s">
        <v>31</v>
      </c>
      <c r="H285" s="7" t="n">
        <v>8.99</v>
      </c>
      <c r="I285" s="7"/>
      <c r="J285" s="7"/>
      <c r="K285" s="6" t="s">
        <v>32</v>
      </c>
      <c r="L285" s="6" t="s">
        <v>93</v>
      </c>
      <c r="M285" s="8" t="n">
        <f aca="false">IF(H285&lt;E285,(E285-H285)/H285,IF(H285&gt;F285,(F285-H285)/H285,0))</f>
        <v>0.167964404894327</v>
      </c>
      <c r="N285" s="9" t="s">
        <v>34</v>
      </c>
      <c r="O285" s="9" t="s">
        <v>34</v>
      </c>
    </row>
    <row r="286" customFormat="false" ht="15" hidden="false" customHeight="false" outlineLevel="0" collapsed="false">
      <c r="A286" s="6" t="s">
        <v>460</v>
      </c>
      <c r="B286" s="6" t="s">
        <v>364</v>
      </c>
      <c r="C286" s="6" t="s">
        <v>461</v>
      </c>
      <c r="D286" s="6" t="s">
        <v>433</v>
      </c>
      <c r="E286" s="7" t="n">
        <v>10.5</v>
      </c>
      <c r="F286" s="7" t="n">
        <v>10.5</v>
      </c>
      <c r="G286" s="6" t="s">
        <v>105</v>
      </c>
      <c r="H286" s="7" t="n">
        <v>15.05</v>
      </c>
      <c r="I286" s="7"/>
      <c r="J286" s="7"/>
      <c r="K286" s="6" t="s">
        <v>106</v>
      </c>
      <c r="L286" s="6" t="s">
        <v>93</v>
      </c>
      <c r="M286" s="8" t="n">
        <f aca="false">IF(H286&lt;E286,(E286-H286)/H286,IF(H286&gt;F286,(F286-H286)/H286,0))</f>
        <v>-0.302325581395349</v>
      </c>
      <c r="N286" s="9" t="s">
        <v>34</v>
      </c>
      <c r="O286" s="9" t="s">
        <v>34</v>
      </c>
    </row>
    <row r="287" customFormat="false" ht="15" hidden="false" customHeight="false" outlineLevel="0" collapsed="false">
      <c r="A287" s="6" t="s">
        <v>460</v>
      </c>
      <c r="B287" s="6" t="s">
        <v>364</v>
      </c>
      <c r="C287" s="6" t="s">
        <v>461</v>
      </c>
      <c r="D287" s="6" t="s">
        <v>433</v>
      </c>
      <c r="E287" s="7" t="n">
        <v>10.5</v>
      </c>
      <c r="F287" s="7" t="n">
        <v>10.5</v>
      </c>
      <c r="G287" s="6" t="s">
        <v>226</v>
      </c>
      <c r="H287" s="7" t="n">
        <v>8.8</v>
      </c>
      <c r="I287" s="7"/>
      <c r="J287" s="7"/>
      <c r="K287" s="6" t="s">
        <v>40</v>
      </c>
      <c r="L287" s="6" t="s">
        <v>45</v>
      </c>
      <c r="M287" s="8" t="n">
        <f aca="false">IF(H287&lt;E287,(E287-H287)/H287,IF(H287&gt;F287,(F287-H287)/H287,0))</f>
        <v>0.193181818181818</v>
      </c>
      <c r="N287" s="9" t="s">
        <v>34</v>
      </c>
      <c r="O287" s="9" t="s">
        <v>34</v>
      </c>
    </row>
    <row r="288" customFormat="false" ht="15" hidden="false" customHeight="false" outlineLevel="0" collapsed="false">
      <c r="A288" s="6" t="s">
        <v>462</v>
      </c>
      <c r="B288" s="6" t="s">
        <v>364</v>
      </c>
      <c r="C288" s="6" t="s">
        <v>463</v>
      </c>
      <c r="D288" s="6" t="s">
        <v>433</v>
      </c>
      <c r="E288" s="7" t="n">
        <v>12.95</v>
      </c>
      <c r="F288" s="7" t="n">
        <v>12.95</v>
      </c>
      <c r="G288" s="6" t="s">
        <v>31</v>
      </c>
      <c r="H288" s="7" t="n">
        <v>8.99</v>
      </c>
      <c r="I288" s="7"/>
      <c r="J288" s="7"/>
      <c r="K288" s="6" t="s">
        <v>32</v>
      </c>
      <c r="L288" s="6" t="s">
        <v>93</v>
      </c>
      <c r="M288" s="8" t="n">
        <f aca="false">IF(H288&lt;E288,(E288-H288)/H288,IF(H288&gt;F288,(F288-H288)/H288,0))</f>
        <v>0.440489432703003</v>
      </c>
      <c r="N288" s="9" t="s">
        <v>34</v>
      </c>
      <c r="O288" s="9" t="s">
        <v>34</v>
      </c>
    </row>
    <row r="289" customFormat="false" ht="15" hidden="false" customHeight="false" outlineLevel="0" collapsed="false">
      <c r="A289" s="6" t="s">
        <v>462</v>
      </c>
      <c r="B289" s="6" t="s">
        <v>364</v>
      </c>
      <c r="C289" s="6" t="s">
        <v>463</v>
      </c>
      <c r="D289" s="6" t="s">
        <v>433</v>
      </c>
      <c r="E289" s="7" t="n">
        <v>12.95</v>
      </c>
      <c r="F289" s="7" t="n">
        <v>12.95</v>
      </c>
      <c r="G289" s="6" t="s">
        <v>105</v>
      </c>
      <c r="H289" s="7" t="n">
        <v>15.05</v>
      </c>
      <c r="I289" s="7"/>
      <c r="J289" s="7"/>
      <c r="K289" s="6" t="s">
        <v>106</v>
      </c>
      <c r="L289" s="6" t="s">
        <v>93</v>
      </c>
      <c r="M289" s="8" t="n">
        <f aca="false">IF(H289&lt;E289,(E289-H289)/H289,IF(H289&gt;F289,(F289-H289)/H289,0))</f>
        <v>-0.13953488372093</v>
      </c>
      <c r="N289" s="9" t="s">
        <v>34</v>
      </c>
      <c r="O289" s="9" t="s">
        <v>34</v>
      </c>
    </row>
    <row r="290" customFormat="false" ht="15" hidden="false" customHeight="false" outlineLevel="0" collapsed="false">
      <c r="A290" s="6" t="s">
        <v>462</v>
      </c>
      <c r="B290" s="6" t="s">
        <v>364</v>
      </c>
      <c r="C290" s="6" t="s">
        <v>463</v>
      </c>
      <c r="D290" s="6" t="s">
        <v>433</v>
      </c>
      <c r="E290" s="7" t="n">
        <v>12.95</v>
      </c>
      <c r="F290" s="7" t="n">
        <v>12.95</v>
      </c>
      <c r="G290" s="6" t="s">
        <v>226</v>
      </c>
      <c r="H290" s="7" t="n">
        <v>11.18</v>
      </c>
      <c r="I290" s="7"/>
      <c r="J290" s="7"/>
      <c r="K290" s="6" t="s">
        <v>40</v>
      </c>
      <c r="L290" s="6" t="s">
        <v>45</v>
      </c>
      <c r="M290" s="8" t="n">
        <f aca="false">IF(H290&lt;E290,(E290-H290)/H290,IF(H290&gt;F290,(F290-H290)/H290,0))</f>
        <v>0.158318425760286</v>
      </c>
      <c r="N290" s="9" t="s">
        <v>34</v>
      </c>
      <c r="O290" s="9" t="s">
        <v>34</v>
      </c>
    </row>
    <row r="291" customFormat="false" ht="15" hidden="false" customHeight="false" outlineLevel="0" collapsed="false">
      <c r="A291" s="6" t="s">
        <v>464</v>
      </c>
      <c r="B291" s="6" t="s">
        <v>364</v>
      </c>
      <c r="C291" s="6" t="s">
        <v>465</v>
      </c>
      <c r="D291" s="6" t="s">
        <v>386</v>
      </c>
      <c r="E291" s="7" t="n">
        <v>152.98</v>
      </c>
      <c r="F291" s="7" t="n">
        <v>152.98</v>
      </c>
      <c r="G291" s="6" t="s">
        <v>31</v>
      </c>
      <c r="H291" s="7" t="n">
        <v>113.5</v>
      </c>
      <c r="I291" s="7"/>
      <c r="J291" s="7"/>
      <c r="K291" s="6" t="s">
        <v>32</v>
      </c>
      <c r="L291" s="6" t="s">
        <v>33</v>
      </c>
      <c r="M291" s="8" t="n">
        <f aca="false">IF(H291&lt;E291,(E291-H291)/H291,IF(H291&gt;F291,(F291-H291)/H291,0))</f>
        <v>0.34784140969163</v>
      </c>
      <c r="N291" s="9" t="s">
        <v>34</v>
      </c>
      <c r="O291" s="9" t="s">
        <v>34</v>
      </c>
    </row>
    <row r="292" customFormat="false" ht="15" hidden="false" customHeight="false" outlineLevel="0" collapsed="false">
      <c r="A292" s="6" t="s">
        <v>466</v>
      </c>
      <c r="B292" s="6" t="s">
        <v>364</v>
      </c>
      <c r="C292" s="6" t="s">
        <v>467</v>
      </c>
      <c r="D292" s="6" t="s">
        <v>30</v>
      </c>
      <c r="E292" s="7" t="n">
        <v>13.48</v>
      </c>
      <c r="F292" s="7" t="n">
        <v>13.48</v>
      </c>
      <c r="G292" s="6" t="s">
        <v>31</v>
      </c>
      <c r="H292" s="7" t="n">
        <v>12.6</v>
      </c>
      <c r="I292" s="7"/>
      <c r="J292" s="7"/>
      <c r="K292" s="6" t="s">
        <v>32</v>
      </c>
      <c r="L292" s="6" t="s">
        <v>93</v>
      </c>
      <c r="M292" s="8" t="n">
        <f aca="false">IF(H292&lt;E292,(E292-H292)/H292,IF(H292&gt;F292,(F292-H292)/H292,0))</f>
        <v>0.0698412698412699</v>
      </c>
      <c r="N292" s="9" t="s">
        <v>34</v>
      </c>
      <c r="O292" s="9" t="s">
        <v>34</v>
      </c>
    </row>
    <row r="293" customFormat="false" ht="15" hidden="false" customHeight="false" outlineLevel="0" collapsed="false">
      <c r="A293" s="6" t="s">
        <v>466</v>
      </c>
      <c r="B293" s="6" t="s">
        <v>364</v>
      </c>
      <c r="C293" s="6" t="s">
        <v>467</v>
      </c>
      <c r="D293" s="6" t="s">
        <v>30</v>
      </c>
      <c r="E293" s="7" t="n">
        <v>13.48</v>
      </c>
      <c r="F293" s="7" t="n">
        <v>13.48</v>
      </c>
      <c r="G293" s="6" t="s">
        <v>226</v>
      </c>
      <c r="H293" s="7" t="n">
        <v>12.75</v>
      </c>
      <c r="I293" s="7"/>
      <c r="J293" s="7"/>
      <c r="K293" s="6" t="s">
        <v>40</v>
      </c>
      <c r="L293" s="6" t="s">
        <v>45</v>
      </c>
      <c r="M293" s="8" t="n">
        <f aca="false">IF(H293&lt;E293,(E293-H293)/H293,IF(H293&gt;F293,(F293-H293)/H293,0))</f>
        <v>0.0572549019607843</v>
      </c>
      <c r="N293" s="9" t="s">
        <v>34</v>
      </c>
      <c r="O293" s="9" t="s">
        <v>34</v>
      </c>
    </row>
    <row r="294" customFormat="false" ht="15" hidden="false" customHeight="false" outlineLevel="0" collapsed="false">
      <c r="A294" s="6" t="s">
        <v>468</v>
      </c>
      <c r="B294" s="6" t="s">
        <v>364</v>
      </c>
      <c r="C294" s="6" t="s">
        <v>469</v>
      </c>
      <c r="D294" s="6" t="s">
        <v>38</v>
      </c>
      <c r="E294" s="7" t="n">
        <v>7.99</v>
      </c>
      <c r="F294" s="7" t="n">
        <v>7.99</v>
      </c>
      <c r="G294" s="6" t="s">
        <v>31</v>
      </c>
      <c r="H294" s="7" t="n">
        <v>6.95</v>
      </c>
      <c r="I294" s="7"/>
      <c r="J294" s="7"/>
      <c r="K294" s="6" t="s">
        <v>32</v>
      </c>
      <c r="L294" s="6" t="s">
        <v>93</v>
      </c>
      <c r="M294" s="8" t="n">
        <f aca="false">IF(H294&lt;E294,(E294-H294)/H294,IF(H294&gt;F294,(F294-H294)/H294,0))</f>
        <v>0.149640287769784</v>
      </c>
      <c r="N294" s="9" t="s">
        <v>34</v>
      </c>
      <c r="O294" s="9" t="s">
        <v>34</v>
      </c>
    </row>
    <row r="295" customFormat="false" ht="15" hidden="false" customHeight="false" outlineLevel="0" collapsed="false">
      <c r="A295" s="6" t="s">
        <v>470</v>
      </c>
      <c r="B295" s="6" t="s">
        <v>364</v>
      </c>
      <c r="C295" s="6" t="s">
        <v>471</v>
      </c>
      <c r="D295" s="6" t="s">
        <v>472</v>
      </c>
      <c r="E295" s="7" t="n">
        <v>7.18</v>
      </c>
      <c r="F295" s="7" t="n">
        <v>7.18</v>
      </c>
      <c r="G295" s="6" t="s">
        <v>31</v>
      </c>
      <c r="H295" s="7" t="n">
        <v>6.99</v>
      </c>
      <c r="I295" s="7"/>
      <c r="J295" s="7"/>
      <c r="K295" s="6" t="s">
        <v>32</v>
      </c>
      <c r="L295" s="6" t="s">
        <v>93</v>
      </c>
      <c r="M295" s="8" t="n">
        <f aca="false">IF(H295&lt;E295,(E295-H295)/H295,IF(H295&gt;F295,(F295-H295)/H295,0))</f>
        <v>0.0271816881258941</v>
      </c>
      <c r="N295" s="9" t="s">
        <v>34</v>
      </c>
      <c r="O295" s="9" t="s">
        <v>34</v>
      </c>
    </row>
    <row r="296" customFormat="false" ht="15" hidden="false" customHeight="false" outlineLevel="0" collapsed="false">
      <c r="A296" s="6" t="s">
        <v>470</v>
      </c>
      <c r="B296" s="6" t="s">
        <v>364</v>
      </c>
      <c r="C296" s="6" t="s">
        <v>471</v>
      </c>
      <c r="D296" s="6" t="s">
        <v>472</v>
      </c>
      <c r="E296" s="7" t="n">
        <v>7.18</v>
      </c>
      <c r="F296" s="7" t="n">
        <v>7.18</v>
      </c>
      <c r="G296" s="6" t="s">
        <v>147</v>
      </c>
      <c r="H296" s="7" t="n">
        <v>7.98</v>
      </c>
      <c r="I296" s="7"/>
      <c r="J296" s="7"/>
      <c r="K296" s="6" t="s">
        <v>32</v>
      </c>
      <c r="L296" s="6" t="s">
        <v>45</v>
      </c>
      <c r="M296" s="8" t="n">
        <f aca="false">IF(H296&lt;E296,(E296-H296)/H296,IF(H296&gt;F296,(F296-H296)/H296,0))</f>
        <v>-0.100250626566416</v>
      </c>
      <c r="N296" s="9" t="s">
        <v>34</v>
      </c>
      <c r="O296" s="9" t="s">
        <v>34</v>
      </c>
    </row>
    <row r="297" customFormat="false" ht="15" hidden="false" customHeight="false" outlineLevel="0" collapsed="false">
      <c r="A297" s="6" t="s">
        <v>470</v>
      </c>
      <c r="B297" s="6" t="s">
        <v>364</v>
      </c>
      <c r="C297" s="6" t="s">
        <v>471</v>
      </c>
      <c r="D297" s="6" t="s">
        <v>472</v>
      </c>
      <c r="E297" s="7" t="n">
        <v>7.18</v>
      </c>
      <c r="F297" s="7" t="n">
        <v>7.18</v>
      </c>
      <c r="G297" s="6" t="s">
        <v>226</v>
      </c>
      <c r="H297" s="7" t="n">
        <v>4.86</v>
      </c>
      <c r="I297" s="7"/>
      <c r="J297" s="7"/>
      <c r="K297" s="6" t="s">
        <v>40</v>
      </c>
      <c r="L297" s="6" t="s">
        <v>94</v>
      </c>
      <c r="M297" s="8" t="n">
        <f aca="false">IF(H297&lt;E297,(E297-H297)/H297,IF(H297&gt;F297,(F297-H297)/H297,0))</f>
        <v>0.477366255144033</v>
      </c>
      <c r="N297" s="9" t="s">
        <v>34</v>
      </c>
      <c r="O297" s="9" t="s">
        <v>34</v>
      </c>
    </row>
    <row r="298" customFormat="false" ht="15" hidden="false" customHeight="false" outlineLevel="0" collapsed="false">
      <c r="A298" s="6" t="s">
        <v>473</v>
      </c>
      <c r="B298" s="6" t="s">
        <v>364</v>
      </c>
      <c r="C298" s="6" t="s">
        <v>474</v>
      </c>
      <c r="D298" s="6" t="s">
        <v>472</v>
      </c>
      <c r="E298" s="7" t="n">
        <v>9.45</v>
      </c>
      <c r="F298" s="7" t="n">
        <v>9.45</v>
      </c>
      <c r="G298" s="6" t="s">
        <v>31</v>
      </c>
      <c r="H298" s="7" t="n">
        <v>6.99</v>
      </c>
      <c r="I298" s="7"/>
      <c r="J298" s="7"/>
      <c r="K298" s="6" t="s">
        <v>32</v>
      </c>
      <c r="L298" s="6" t="s">
        <v>93</v>
      </c>
      <c r="M298" s="8" t="n">
        <f aca="false">IF(H298&lt;E298,(E298-H298)/H298,IF(H298&gt;F298,(F298-H298)/H298,0))</f>
        <v>0.351931330472103</v>
      </c>
      <c r="N298" s="9" t="s">
        <v>34</v>
      </c>
      <c r="O298" s="9" t="s">
        <v>34</v>
      </c>
    </row>
    <row r="299" customFormat="false" ht="15" hidden="false" customHeight="false" outlineLevel="0" collapsed="false">
      <c r="A299" s="6" t="s">
        <v>473</v>
      </c>
      <c r="B299" s="6" t="s">
        <v>364</v>
      </c>
      <c r="C299" s="6" t="s">
        <v>474</v>
      </c>
      <c r="D299" s="6" t="s">
        <v>472</v>
      </c>
      <c r="E299" s="7" t="n">
        <v>9.45</v>
      </c>
      <c r="F299" s="7" t="n">
        <v>9.45</v>
      </c>
      <c r="G299" s="6" t="s">
        <v>147</v>
      </c>
      <c r="H299" s="7" t="n">
        <v>7.98</v>
      </c>
      <c r="I299" s="7"/>
      <c r="J299" s="7"/>
      <c r="K299" s="6" t="s">
        <v>32</v>
      </c>
      <c r="L299" s="6" t="s">
        <v>93</v>
      </c>
      <c r="M299" s="8" t="n">
        <f aca="false">IF(H299&lt;E299,(E299-H299)/H299,IF(H299&gt;F299,(F299-H299)/H299,0))</f>
        <v>0.184210526315789</v>
      </c>
      <c r="N299" s="9" t="s">
        <v>34</v>
      </c>
      <c r="O299" s="9" t="s">
        <v>34</v>
      </c>
    </row>
    <row r="300" customFormat="false" ht="15" hidden="false" customHeight="false" outlineLevel="0" collapsed="false">
      <c r="A300" s="6" t="s">
        <v>473</v>
      </c>
      <c r="B300" s="6" t="s">
        <v>364</v>
      </c>
      <c r="C300" s="6" t="s">
        <v>474</v>
      </c>
      <c r="D300" s="6" t="s">
        <v>472</v>
      </c>
      <c r="E300" s="7" t="n">
        <v>9.45</v>
      </c>
      <c r="F300" s="7" t="n">
        <v>9.45</v>
      </c>
      <c r="G300" s="6" t="s">
        <v>226</v>
      </c>
      <c r="H300" s="7" t="n">
        <v>5.99</v>
      </c>
      <c r="I300" s="7"/>
      <c r="J300" s="7"/>
      <c r="K300" s="6" t="s">
        <v>40</v>
      </c>
      <c r="L300" s="6" t="s">
        <v>45</v>
      </c>
      <c r="M300" s="8" t="n">
        <f aca="false">IF(H300&lt;E300,(E300-H300)/H300,IF(H300&gt;F300,(F300-H300)/H300,0))</f>
        <v>0.57762938230384</v>
      </c>
      <c r="N300" s="9" t="s">
        <v>34</v>
      </c>
      <c r="O300" s="9" t="s">
        <v>34</v>
      </c>
    </row>
    <row r="301" customFormat="false" ht="15" hidden="false" customHeight="false" outlineLevel="0" collapsed="false">
      <c r="A301" s="6" t="s">
        <v>475</v>
      </c>
      <c r="B301" s="6" t="s">
        <v>364</v>
      </c>
      <c r="C301" s="6" t="s">
        <v>476</v>
      </c>
      <c r="D301" s="6" t="s">
        <v>472</v>
      </c>
      <c r="E301" s="7" t="n">
        <v>8.98</v>
      </c>
      <c r="F301" s="7" t="n">
        <v>8.98</v>
      </c>
      <c r="G301" s="6" t="s">
        <v>31</v>
      </c>
      <c r="H301" s="7" t="n">
        <v>6.99</v>
      </c>
      <c r="I301" s="7"/>
      <c r="J301" s="7"/>
      <c r="K301" s="6" t="s">
        <v>32</v>
      </c>
      <c r="L301" s="6" t="s">
        <v>93</v>
      </c>
      <c r="M301" s="8" t="n">
        <f aca="false">IF(H301&lt;E301,(E301-H301)/H301,IF(H301&gt;F301,(F301-H301)/H301,0))</f>
        <v>0.284692417739628</v>
      </c>
      <c r="N301" s="9" t="s">
        <v>34</v>
      </c>
      <c r="O301" s="9" t="s">
        <v>34</v>
      </c>
    </row>
    <row r="302" customFormat="false" ht="15" hidden="false" customHeight="false" outlineLevel="0" collapsed="false">
      <c r="A302" s="6" t="s">
        <v>475</v>
      </c>
      <c r="B302" s="6" t="s">
        <v>364</v>
      </c>
      <c r="C302" s="6" t="s">
        <v>476</v>
      </c>
      <c r="D302" s="6" t="s">
        <v>472</v>
      </c>
      <c r="E302" s="7" t="n">
        <v>8.98</v>
      </c>
      <c r="F302" s="7" t="n">
        <v>8.98</v>
      </c>
      <c r="G302" s="6" t="s">
        <v>147</v>
      </c>
      <c r="H302" s="7" t="n">
        <v>7.98</v>
      </c>
      <c r="I302" s="7"/>
      <c r="J302" s="7"/>
      <c r="K302" s="6" t="s">
        <v>32</v>
      </c>
      <c r="L302" s="6" t="s">
        <v>93</v>
      </c>
      <c r="M302" s="8" t="n">
        <f aca="false">IF(H302&lt;E302,(E302-H302)/H302,IF(H302&gt;F302,(F302-H302)/H302,0))</f>
        <v>0.12531328320802</v>
      </c>
      <c r="N302" s="9" t="s">
        <v>34</v>
      </c>
      <c r="O302" s="9" t="s">
        <v>34</v>
      </c>
    </row>
    <row r="303" customFormat="false" ht="15" hidden="false" customHeight="false" outlineLevel="0" collapsed="false">
      <c r="A303" s="6" t="s">
        <v>475</v>
      </c>
      <c r="B303" s="6" t="s">
        <v>364</v>
      </c>
      <c r="C303" s="6" t="s">
        <v>476</v>
      </c>
      <c r="D303" s="6" t="s">
        <v>472</v>
      </c>
      <c r="E303" s="7" t="n">
        <v>8.98</v>
      </c>
      <c r="F303" s="7" t="n">
        <v>8.98</v>
      </c>
      <c r="G303" s="6" t="s">
        <v>226</v>
      </c>
      <c r="H303" s="7" t="n">
        <v>6.6</v>
      </c>
      <c r="I303" s="7"/>
      <c r="J303" s="7"/>
      <c r="K303" s="6" t="s">
        <v>40</v>
      </c>
      <c r="L303" s="6" t="s">
        <v>45</v>
      </c>
      <c r="M303" s="8" t="n">
        <f aca="false">IF(H303&lt;E303,(E303-H303)/H303,IF(H303&gt;F303,(F303-H303)/H303,0))</f>
        <v>0.360606060606061</v>
      </c>
      <c r="N303" s="9" t="s">
        <v>34</v>
      </c>
      <c r="O303" s="9" t="s">
        <v>34</v>
      </c>
    </row>
    <row r="304" customFormat="false" ht="15" hidden="false" customHeight="false" outlineLevel="0" collapsed="false">
      <c r="A304" s="6" t="s">
        <v>477</v>
      </c>
      <c r="B304" s="6" t="s">
        <v>364</v>
      </c>
      <c r="C304" s="6" t="s">
        <v>478</v>
      </c>
      <c r="D304" s="6" t="s">
        <v>479</v>
      </c>
      <c r="E304" s="7" t="n">
        <v>10.78</v>
      </c>
      <c r="F304" s="7" t="n">
        <v>10.78</v>
      </c>
      <c r="G304" s="6" t="s">
        <v>31</v>
      </c>
      <c r="H304" s="7" t="n">
        <v>6.99</v>
      </c>
      <c r="I304" s="7"/>
      <c r="J304" s="7"/>
      <c r="K304" s="6" t="s">
        <v>32</v>
      </c>
      <c r="L304" s="6" t="s">
        <v>93</v>
      </c>
      <c r="M304" s="8" t="n">
        <f aca="false">IF(H304&lt;E304,(E304-H304)/H304,IF(H304&gt;F304,(F304-H304)/H304,0))</f>
        <v>0.542203147353362</v>
      </c>
      <c r="N304" s="9" t="s">
        <v>34</v>
      </c>
      <c r="O304" s="9" t="s">
        <v>34</v>
      </c>
    </row>
    <row r="305" customFormat="false" ht="15" hidden="false" customHeight="false" outlineLevel="0" collapsed="false">
      <c r="A305" s="6" t="s">
        <v>477</v>
      </c>
      <c r="B305" s="6" t="s">
        <v>364</v>
      </c>
      <c r="C305" s="6" t="s">
        <v>478</v>
      </c>
      <c r="D305" s="6" t="s">
        <v>479</v>
      </c>
      <c r="E305" s="7" t="n">
        <v>10.78</v>
      </c>
      <c r="F305" s="7" t="n">
        <v>10.78</v>
      </c>
      <c r="G305" s="6" t="s">
        <v>147</v>
      </c>
      <c r="H305" s="7" t="n">
        <v>7.98</v>
      </c>
      <c r="I305" s="7"/>
      <c r="J305" s="7"/>
      <c r="K305" s="6" t="s">
        <v>32</v>
      </c>
      <c r="L305" s="6" t="s">
        <v>93</v>
      </c>
      <c r="M305" s="8" t="n">
        <f aca="false">IF(H305&lt;E305,(E305-H305)/H305,IF(H305&gt;F305,(F305-H305)/H305,0))</f>
        <v>0.350877192982456</v>
      </c>
      <c r="N305" s="9" t="s">
        <v>34</v>
      </c>
      <c r="O305" s="9" t="s">
        <v>34</v>
      </c>
    </row>
    <row r="306" customFormat="false" ht="15" hidden="false" customHeight="false" outlineLevel="0" collapsed="false">
      <c r="A306" s="6" t="s">
        <v>477</v>
      </c>
      <c r="B306" s="6" t="s">
        <v>364</v>
      </c>
      <c r="C306" s="6" t="s">
        <v>478</v>
      </c>
      <c r="D306" s="6" t="s">
        <v>479</v>
      </c>
      <c r="E306" s="7" t="n">
        <v>10.78</v>
      </c>
      <c r="F306" s="7" t="n">
        <v>10.78</v>
      </c>
      <c r="G306" s="6" t="s">
        <v>226</v>
      </c>
      <c r="H306" s="7" t="n">
        <v>7.19</v>
      </c>
      <c r="I306" s="7"/>
      <c r="J306" s="7"/>
      <c r="K306" s="6" t="s">
        <v>40</v>
      </c>
      <c r="L306" s="6" t="s">
        <v>45</v>
      </c>
      <c r="M306" s="8" t="n">
        <f aca="false">IF(H306&lt;E306,(E306-H306)/H306,IF(H306&gt;F306,(F306-H306)/H306,0))</f>
        <v>0.499304589707928</v>
      </c>
      <c r="N306" s="9" t="s">
        <v>34</v>
      </c>
      <c r="O306" s="9" t="s">
        <v>34</v>
      </c>
    </row>
    <row r="307" customFormat="false" ht="15" hidden="false" customHeight="false" outlineLevel="0" collapsed="false">
      <c r="A307" s="6" t="s">
        <v>480</v>
      </c>
      <c r="B307" s="6" t="s">
        <v>364</v>
      </c>
      <c r="C307" s="6" t="s">
        <v>481</v>
      </c>
      <c r="D307" s="6" t="s">
        <v>38</v>
      </c>
      <c r="E307" s="7" t="n">
        <v>10.37</v>
      </c>
      <c r="F307" s="7" t="n">
        <v>10.37</v>
      </c>
      <c r="G307" s="6" t="s">
        <v>31</v>
      </c>
      <c r="H307" s="7" t="n">
        <v>8.44</v>
      </c>
      <c r="I307" s="7"/>
      <c r="J307" s="7"/>
      <c r="K307" s="6" t="s">
        <v>32</v>
      </c>
      <c r="L307" s="6" t="s">
        <v>93</v>
      </c>
      <c r="M307" s="8" t="n">
        <f aca="false">IF(H307&lt;E307,(E307-H307)/H307,IF(H307&gt;F307,(F307-H307)/H307,0))</f>
        <v>0.228672985781991</v>
      </c>
      <c r="N307" s="9" t="s">
        <v>34</v>
      </c>
      <c r="O307" s="9" t="s">
        <v>34</v>
      </c>
    </row>
    <row r="308" customFormat="false" ht="15" hidden="false" customHeight="false" outlineLevel="0" collapsed="false">
      <c r="A308" s="6" t="s">
        <v>480</v>
      </c>
      <c r="B308" s="6" t="s">
        <v>364</v>
      </c>
      <c r="C308" s="6" t="s">
        <v>481</v>
      </c>
      <c r="D308" s="6" t="s">
        <v>38</v>
      </c>
      <c r="E308" s="7" t="n">
        <v>10.37</v>
      </c>
      <c r="F308" s="7" t="n">
        <v>10.37</v>
      </c>
      <c r="G308" s="6" t="s">
        <v>147</v>
      </c>
      <c r="H308" s="7" t="n">
        <v>10.9</v>
      </c>
      <c r="I308" s="7"/>
      <c r="J308" s="7"/>
      <c r="K308" s="6" t="s">
        <v>32</v>
      </c>
      <c r="L308" s="6" t="s">
        <v>93</v>
      </c>
      <c r="M308" s="8" t="n">
        <f aca="false">IF(H308&lt;E308,(E308-H308)/H308,IF(H308&gt;F308,(F308-H308)/H308,0))</f>
        <v>-0.0486238532110093</v>
      </c>
      <c r="N308" s="9" t="s">
        <v>34</v>
      </c>
      <c r="O308" s="9" t="s">
        <v>34</v>
      </c>
    </row>
    <row r="309" customFormat="false" ht="15" hidden="false" customHeight="false" outlineLevel="0" collapsed="false">
      <c r="A309" s="6" t="s">
        <v>480</v>
      </c>
      <c r="B309" s="6" t="s">
        <v>364</v>
      </c>
      <c r="C309" s="6" t="s">
        <v>481</v>
      </c>
      <c r="D309" s="6" t="s">
        <v>38</v>
      </c>
      <c r="E309" s="7" t="n">
        <v>10.37</v>
      </c>
      <c r="F309" s="7" t="n">
        <v>10.37</v>
      </c>
      <c r="G309" s="6" t="s">
        <v>39</v>
      </c>
      <c r="H309" s="7" t="n">
        <v>9.95</v>
      </c>
      <c r="I309" s="7"/>
      <c r="J309" s="7"/>
      <c r="K309" s="6" t="s">
        <v>40</v>
      </c>
      <c r="L309" s="6" t="s">
        <v>93</v>
      </c>
      <c r="M309" s="8" t="n">
        <f aca="false">IF(H309&lt;E309,(E309-H309)/H309,IF(H309&gt;F309,(F309-H309)/H309,0))</f>
        <v>0.0422110552763819</v>
      </c>
      <c r="N309" s="9" t="s">
        <v>34</v>
      </c>
      <c r="O309" s="9" t="s">
        <v>34</v>
      </c>
    </row>
    <row r="310" customFormat="false" ht="15" hidden="false" customHeight="false" outlineLevel="0" collapsed="false">
      <c r="A310" s="6" t="s">
        <v>480</v>
      </c>
      <c r="B310" s="6" t="s">
        <v>364</v>
      </c>
      <c r="C310" s="6" t="s">
        <v>481</v>
      </c>
      <c r="D310" s="6" t="s">
        <v>38</v>
      </c>
      <c r="E310" s="7" t="n">
        <v>10.37</v>
      </c>
      <c r="F310" s="7" t="n">
        <v>10.37</v>
      </c>
      <c r="G310" s="6" t="s">
        <v>226</v>
      </c>
      <c r="H310" s="7" t="n">
        <v>9.2</v>
      </c>
      <c r="I310" s="7"/>
      <c r="J310" s="7"/>
      <c r="K310" s="6" t="s">
        <v>40</v>
      </c>
      <c r="L310" s="6" t="s">
        <v>45</v>
      </c>
      <c r="M310" s="8" t="n">
        <f aca="false">IF(H310&lt;E310,(E310-H310)/H310,IF(H310&gt;F310,(F310-H310)/H310,0))</f>
        <v>0.127173913043478</v>
      </c>
      <c r="N310" s="9" t="s">
        <v>34</v>
      </c>
      <c r="O310" s="9" t="s">
        <v>34</v>
      </c>
    </row>
    <row r="311" customFormat="false" ht="15" hidden="false" customHeight="false" outlineLevel="0" collapsed="false">
      <c r="A311" s="6" t="s">
        <v>482</v>
      </c>
      <c r="B311" s="6" t="s">
        <v>364</v>
      </c>
      <c r="C311" s="6" t="s">
        <v>483</v>
      </c>
      <c r="D311" s="6" t="s">
        <v>472</v>
      </c>
      <c r="E311" s="7" t="n">
        <v>9.5</v>
      </c>
      <c r="F311" s="7" t="n">
        <v>9.5</v>
      </c>
      <c r="G311" s="6" t="s">
        <v>31</v>
      </c>
      <c r="H311" s="7" t="n">
        <v>8.44</v>
      </c>
      <c r="I311" s="7"/>
      <c r="J311" s="7"/>
      <c r="K311" s="6" t="s">
        <v>32</v>
      </c>
      <c r="L311" s="6" t="s">
        <v>93</v>
      </c>
      <c r="M311" s="8" t="n">
        <f aca="false">IF(H311&lt;E311,(E311-H311)/H311,IF(H311&gt;F311,(F311-H311)/H311,0))</f>
        <v>0.125592417061611</v>
      </c>
      <c r="N311" s="9" t="s">
        <v>34</v>
      </c>
      <c r="O311" s="9" t="s">
        <v>34</v>
      </c>
    </row>
    <row r="312" customFormat="false" ht="15" hidden="false" customHeight="false" outlineLevel="0" collapsed="false">
      <c r="A312" s="6" t="s">
        <v>482</v>
      </c>
      <c r="B312" s="6" t="s">
        <v>364</v>
      </c>
      <c r="C312" s="6" t="s">
        <v>483</v>
      </c>
      <c r="D312" s="6" t="s">
        <v>472</v>
      </c>
      <c r="E312" s="7" t="n">
        <v>9.5</v>
      </c>
      <c r="F312" s="7" t="n">
        <v>9.5</v>
      </c>
      <c r="G312" s="6" t="s">
        <v>147</v>
      </c>
      <c r="H312" s="7" t="n">
        <v>10.9</v>
      </c>
      <c r="I312" s="7"/>
      <c r="J312" s="7"/>
      <c r="K312" s="6" t="s">
        <v>32</v>
      </c>
      <c r="L312" s="6" t="s">
        <v>93</v>
      </c>
      <c r="M312" s="8" t="n">
        <f aca="false">IF(H312&lt;E312,(E312-H312)/H312,IF(H312&gt;F312,(F312-H312)/H312,0))</f>
        <v>-0.128440366972477</v>
      </c>
      <c r="N312" s="9" t="s">
        <v>34</v>
      </c>
      <c r="O312" s="9" t="s">
        <v>34</v>
      </c>
    </row>
    <row r="313" customFormat="false" ht="15" hidden="false" customHeight="false" outlineLevel="0" collapsed="false">
      <c r="A313" s="6" t="s">
        <v>482</v>
      </c>
      <c r="B313" s="6" t="s">
        <v>364</v>
      </c>
      <c r="C313" s="6" t="s">
        <v>483</v>
      </c>
      <c r="D313" s="6" t="s">
        <v>472</v>
      </c>
      <c r="E313" s="7" t="n">
        <v>9.5</v>
      </c>
      <c r="F313" s="7" t="n">
        <v>9.5</v>
      </c>
      <c r="G313" s="6" t="s">
        <v>39</v>
      </c>
      <c r="H313" s="7" t="n">
        <v>9.95</v>
      </c>
      <c r="I313" s="7"/>
      <c r="J313" s="7"/>
      <c r="K313" s="6" t="s">
        <v>40</v>
      </c>
      <c r="L313" s="6" t="s">
        <v>93</v>
      </c>
      <c r="M313" s="8" t="n">
        <f aca="false">IF(H313&lt;E313,(E313-H313)/H313,IF(H313&gt;F313,(F313-H313)/H313,0))</f>
        <v>-0.0452261306532663</v>
      </c>
      <c r="N313" s="9" t="s">
        <v>34</v>
      </c>
      <c r="O313" s="9" t="s">
        <v>34</v>
      </c>
    </row>
    <row r="314" customFormat="false" ht="15" hidden="false" customHeight="false" outlineLevel="0" collapsed="false">
      <c r="A314" s="6" t="s">
        <v>482</v>
      </c>
      <c r="B314" s="6" t="s">
        <v>364</v>
      </c>
      <c r="C314" s="6" t="s">
        <v>483</v>
      </c>
      <c r="D314" s="6" t="s">
        <v>472</v>
      </c>
      <c r="E314" s="7" t="n">
        <v>9.5</v>
      </c>
      <c r="F314" s="7" t="n">
        <v>9.5</v>
      </c>
      <c r="G314" s="6" t="s">
        <v>226</v>
      </c>
      <c r="H314" s="7" t="n">
        <v>9.2</v>
      </c>
      <c r="I314" s="7"/>
      <c r="J314" s="7"/>
      <c r="K314" s="6" t="s">
        <v>40</v>
      </c>
      <c r="L314" s="6" t="s">
        <v>45</v>
      </c>
      <c r="M314" s="8" t="n">
        <f aca="false">IF(H314&lt;E314,(E314-H314)/H314,IF(H314&gt;F314,(F314-H314)/H314,0))</f>
        <v>0.032608695652174</v>
      </c>
      <c r="N314" s="9" t="s">
        <v>34</v>
      </c>
      <c r="O314" s="9" t="s">
        <v>34</v>
      </c>
    </row>
    <row r="315" customFormat="false" ht="15" hidden="false" customHeight="false" outlineLevel="0" collapsed="false">
      <c r="A315" s="6" t="s">
        <v>484</v>
      </c>
      <c r="B315" s="6" t="s">
        <v>364</v>
      </c>
      <c r="C315" s="6" t="s">
        <v>485</v>
      </c>
      <c r="D315" s="6" t="s">
        <v>38</v>
      </c>
      <c r="E315" s="7" t="n">
        <v>10.5</v>
      </c>
      <c r="F315" s="7" t="n">
        <v>10.5</v>
      </c>
      <c r="G315" s="6" t="s">
        <v>31</v>
      </c>
      <c r="H315" s="7" t="n">
        <v>8.69</v>
      </c>
      <c r="I315" s="7"/>
      <c r="J315" s="7"/>
      <c r="K315" s="6" t="s">
        <v>32</v>
      </c>
      <c r="L315" s="6" t="s">
        <v>93</v>
      </c>
      <c r="M315" s="8" t="n">
        <f aca="false">IF(H315&lt;E315,(E315-H315)/H315,IF(H315&gt;F315,(F315-H315)/H315,0))</f>
        <v>0.208285385500575</v>
      </c>
      <c r="N315" s="9" t="s">
        <v>34</v>
      </c>
      <c r="O315" s="9" t="s">
        <v>34</v>
      </c>
    </row>
    <row r="316" customFormat="false" ht="15" hidden="false" customHeight="false" outlineLevel="0" collapsed="false">
      <c r="A316" s="6" t="s">
        <v>484</v>
      </c>
      <c r="B316" s="6" t="s">
        <v>364</v>
      </c>
      <c r="C316" s="6" t="s">
        <v>485</v>
      </c>
      <c r="D316" s="6" t="s">
        <v>38</v>
      </c>
      <c r="E316" s="7" t="n">
        <v>10.5</v>
      </c>
      <c r="F316" s="7" t="n">
        <v>10.5</v>
      </c>
      <c r="G316" s="6" t="s">
        <v>39</v>
      </c>
      <c r="H316" s="7" t="n">
        <v>11.35</v>
      </c>
      <c r="I316" s="7"/>
      <c r="J316" s="7"/>
      <c r="K316" s="6" t="s">
        <v>32</v>
      </c>
      <c r="L316" s="6" t="s">
        <v>45</v>
      </c>
      <c r="M316" s="8" t="n">
        <f aca="false">IF(H316&lt;E316,(E316-H316)/H316,IF(H316&gt;F316,(F316-H316)/H316,0))</f>
        <v>-0.0748898678414097</v>
      </c>
      <c r="N316" s="9" t="s">
        <v>34</v>
      </c>
      <c r="O316" s="9" t="s">
        <v>34</v>
      </c>
    </row>
    <row r="317" customFormat="false" ht="15" hidden="false" customHeight="false" outlineLevel="0" collapsed="false">
      <c r="A317" s="6" t="s">
        <v>484</v>
      </c>
      <c r="B317" s="6" t="s">
        <v>364</v>
      </c>
      <c r="C317" s="6" t="s">
        <v>485</v>
      </c>
      <c r="D317" s="6" t="s">
        <v>38</v>
      </c>
      <c r="E317" s="7" t="n">
        <v>10.5</v>
      </c>
      <c r="F317" s="7" t="n">
        <v>10.5</v>
      </c>
      <c r="G317" s="6" t="s">
        <v>226</v>
      </c>
      <c r="H317" s="7" t="n">
        <v>10.32</v>
      </c>
      <c r="I317" s="7"/>
      <c r="J317" s="7"/>
      <c r="K317" s="6" t="s">
        <v>40</v>
      </c>
      <c r="L317" s="6" t="s">
        <v>45</v>
      </c>
      <c r="M317" s="8" t="n">
        <f aca="false">IF(H317&lt;E317,(E317-H317)/H317,IF(H317&gt;F317,(F317-H317)/H317,0))</f>
        <v>0.0174418604651163</v>
      </c>
      <c r="N317" s="9" t="s">
        <v>34</v>
      </c>
      <c r="O317" s="9" t="s">
        <v>34</v>
      </c>
    </row>
    <row r="318" customFormat="false" ht="15" hidden="false" customHeight="false" outlineLevel="0" collapsed="false">
      <c r="A318" s="6" t="s">
        <v>486</v>
      </c>
      <c r="B318" s="6" t="s">
        <v>364</v>
      </c>
      <c r="C318" s="6" t="s">
        <v>487</v>
      </c>
      <c r="D318" s="6" t="s">
        <v>472</v>
      </c>
      <c r="E318" s="7" t="n">
        <v>9.5</v>
      </c>
      <c r="F318" s="7" t="n">
        <v>9.5</v>
      </c>
      <c r="G318" s="6" t="s">
        <v>31</v>
      </c>
      <c r="H318" s="7" t="n">
        <v>8.44</v>
      </c>
      <c r="I318" s="7"/>
      <c r="J318" s="7"/>
      <c r="K318" s="6" t="s">
        <v>32</v>
      </c>
      <c r="L318" s="6" t="s">
        <v>93</v>
      </c>
      <c r="M318" s="8" t="n">
        <f aca="false">IF(H318&lt;E318,(E318-H318)/H318,IF(H318&gt;F318,(F318-H318)/H318,0))</f>
        <v>0.125592417061611</v>
      </c>
      <c r="N318" s="9" t="s">
        <v>34</v>
      </c>
      <c r="O318" s="9" t="s">
        <v>34</v>
      </c>
    </row>
    <row r="319" customFormat="false" ht="15" hidden="false" customHeight="false" outlineLevel="0" collapsed="false">
      <c r="A319" s="6" t="s">
        <v>486</v>
      </c>
      <c r="B319" s="6" t="s">
        <v>364</v>
      </c>
      <c r="C319" s="6" t="s">
        <v>487</v>
      </c>
      <c r="D319" s="6" t="s">
        <v>472</v>
      </c>
      <c r="E319" s="7" t="n">
        <v>9.5</v>
      </c>
      <c r="F319" s="7" t="n">
        <v>9.5</v>
      </c>
      <c r="G319" s="6" t="s">
        <v>147</v>
      </c>
      <c r="H319" s="7" t="n">
        <v>10.9</v>
      </c>
      <c r="I319" s="7"/>
      <c r="J319" s="7"/>
      <c r="K319" s="6" t="s">
        <v>32</v>
      </c>
      <c r="L319" s="6" t="s">
        <v>93</v>
      </c>
      <c r="M319" s="8" t="n">
        <f aca="false">IF(H319&lt;E319,(E319-H319)/H319,IF(H319&gt;F319,(F319-H319)/H319,0))</f>
        <v>-0.128440366972477</v>
      </c>
      <c r="N319" s="9" t="s">
        <v>34</v>
      </c>
      <c r="O319" s="9" t="s">
        <v>34</v>
      </c>
    </row>
    <row r="320" customFormat="false" ht="15" hidden="false" customHeight="false" outlineLevel="0" collapsed="false">
      <c r="A320" s="6" t="s">
        <v>486</v>
      </c>
      <c r="B320" s="6" t="s">
        <v>364</v>
      </c>
      <c r="C320" s="6" t="s">
        <v>487</v>
      </c>
      <c r="D320" s="6" t="s">
        <v>472</v>
      </c>
      <c r="E320" s="7" t="n">
        <v>9.5</v>
      </c>
      <c r="F320" s="7" t="n">
        <v>9.5</v>
      </c>
      <c r="G320" s="6" t="s">
        <v>39</v>
      </c>
      <c r="H320" s="7" t="n">
        <v>9.95</v>
      </c>
      <c r="I320" s="7"/>
      <c r="J320" s="7"/>
      <c r="K320" s="6" t="s">
        <v>40</v>
      </c>
      <c r="L320" s="6" t="s">
        <v>93</v>
      </c>
      <c r="M320" s="8" t="n">
        <f aca="false">IF(H320&lt;E320,(E320-H320)/H320,IF(H320&gt;F320,(F320-H320)/H320,0))</f>
        <v>-0.0452261306532663</v>
      </c>
      <c r="N320" s="9" t="s">
        <v>34</v>
      </c>
      <c r="O320" s="9" t="s">
        <v>34</v>
      </c>
    </row>
    <row r="321" customFormat="false" ht="15" hidden="false" customHeight="false" outlineLevel="0" collapsed="false">
      <c r="A321" s="6" t="s">
        <v>486</v>
      </c>
      <c r="B321" s="6" t="s">
        <v>364</v>
      </c>
      <c r="C321" s="6" t="s">
        <v>487</v>
      </c>
      <c r="D321" s="6" t="s">
        <v>472</v>
      </c>
      <c r="E321" s="7" t="n">
        <v>9.5</v>
      </c>
      <c r="F321" s="7" t="n">
        <v>9.5</v>
      </c>
      <c r="G321" s="6" t="s">
        <v>226</v>
      </c>
      <c r="H321" s="7" t="n">
        <v>9.2</v>
      </c>
      <c r="I321" s="7"/>
      <c r="J321" s="7"/>
      <c r="K321" s="6" t="s">
        <v>40</v>
      </c>
      <c r="L321" s="6" t="s">
        <v>45</v>
      </c>
      <c r="M321" s="8" t="n">
        <f aca="false">IF(H321&lt;E321,(E321-H321)/H321,IF(H321&gt;F321,(F321-H321)/H321,0))</f>
        <v>0.032608695652174</v>
      </c>
      <c r="N321" s="9" t="s">
        <v>34</v>
      </c>
      <c r="O321" s="9" t="s">
        <v>34</v>
      </c>
    </row>
    <row r="322" customFormat="false" ht="15" hidden="false" customHeight="false" outlineLevel="0" collapsed="false">
      <c r="A322" s="6" t="s">
        <v>488</v>
      </c>
      <c r="B322" s="6" t="s">
        <v>364</v>
      </c>
      <c r="C322" s="6" t="s">
        <v>489</v>
      </c>
      <c r="D322" s="6" t="s">
        <v>472</v>
      </c>
      <c r="E322" s="7" t="n">
        <v>2.95</v>
      </c>
      <c r="F322" s="7" t="n">
        <v>3.8</v>
      </c>
      <c r="G322" s="6" t="s">
        <v>31</v>
      </c>
      <c r="H322" s="7" t="n">
        <v>1.85</v>
      </c>
      <c r="I322" s="7"/>
      <c r="J322" s="7"/>
      <c r="K322" s="6" t="s">
        <v>32</v>
      </c>
      <c r="L322" s="6" t="s">
        <v>93</v>
      </c>
      <c r="M322" s="8" t="n">
        <f aca="false">IF(H322&lt;E322,(E322-H322)/H322,IF(H322&gt;F322,(F322-H322)/H322,0))</f>
        <v>0.594594594594595</v>
      </c>
      <c r="N322" s="9" t="s">
        <v>34</v>
      </c>
      <c r="O322" s="9" t="s">
        <v>34</v>
      </c>
    </row>
    <row r="323" customFormat="false" ht="15" hidden="false" customHeight="false" outlineLevel="0" collapsed="false">
      <c r="A323" s="6" t="s">
        <v>488</v>
      </c>
      <c r="B323" s="6" t="s">
        <v>364</v>
      </c>
      <c r="C323" s="6" t="s">
        <v>489</v>
      </c>
      <c r="D323" s="6" t="s">
        <v>472</v>
      </c>
      <c r="E323" s="7" t="n">
        <v>2.95</v>
      </c>
      <c r="F323" s="7" t="n">
        <v>3.8</v>
      </c>
      <c r="G323" s="6" t="s">
        <v>147</v>
      </c>
      <c r="H323" s="7" t="n">
        <v>10.9</v>
      </c>
      <c r="I323" s="7"/>
      <c r="J323" s="7"/>
      <c r="K323" s="6" t="s">
        <v>32</v>
      </c>
      <c r="L323" s="6" t="s">
        <v>93</v>
      </c>
      <c r="M323" s="8" t="n">
        <f aca="false">IF(H323&lt;E323,(E323-H323)/H323,IF(H323&gt;F323,(F323-H323)/H323,0))</f>
        <v>-0.651376146788991</v>
      </c>
      <c r="N323" s="9" t="s">
        <v>34</v>
      </c>
      <c r="O323" s="9" t="s">
        <v>34</v>
      </c>
    </row>
    <row r="324" customFormat="false" ht="15" hidden="false" customHeight="false" outlineLevel="0" collapsed="false">
      <c r="A324" s="6" t="s">
        <v>488</v>
      </c>
      <c r="B324" s="6" t="s">
        <v>364</v>
      </c>
      <c r="C324" s="6" t="s">
        <v>489</v>
      </c>
      <c r="D324" s="6" t="s">
        <v>472</v>
      </c>
      <c r="E324" s="7" t="n">
        <v>2.95</v>
      </c>
      <c r="F324" s="7" t="n">
        <v>3.8</v>
      </c>
      <c r="G324" s="6" t="s">
        <v>39</v>
      </c>
      <c r="H324" s="7" t="n">
        <v>9.95</v>
      </c>
      <c r="I324" s="7"/>
      <c r="J324" s="7"/>
      <c r="K324" s="6" t="s">
        <v>40</v>
      </c>
      <c r="L324" s="6" t="s">
        <v>93</v>
      </c>
      <c r="M324" s="8" t="n">
        <f aca="false">IF(H324&lt;E324,(E324-H324)/H324,IF(H324&gt;F324,(F324-H324)/H324,0))</f>
        <v>-0.618090452261307</v>
      </c>
      <c r="N324" s="9" t="s">
        <v>34</v>
      </c>
      <c r="O324" s="9" t="s">
        <v>34</v>
      </c>
    </row>
    <row r="325" customFormat="false" ht="15" hidden="false" customHeight="false" outlineLevel="0" collapsed="false">
      <c r="A325" s="6" t="s">
        <v>488</v>
      </c>
      <c r="B325" s="6" t="s">
        <v>364</v>
      </c>
      <c r="C325" s="6" t="s">
        <v>489</v>
      </c>
      <c r="D325" s="6" t="s">
        <v>472</v>
      </c>
      <c r="E325" s="7" t="n">
        <v>2.95</v>
      </c>
      <c r="F325" s="7" t="n">
        <v>3.8</v>
      </c>
      <c r="G325" s="6" t="s">
        <v>226</v>
      </c>
      <c r="H325" s="7" t="n">
        <v>6.68</v>
      </c>
      <c r="I325" s="7"/>
      <c r="J325" s="7"/>
      <c r="K325" s="6" t="s">
        <v>40</v>
      </c>
      <c r="L325" s="6" t="s">
        <v>93</v>
      </c>
      <c r="M325" s="8" t="n">
        <f aca="false">IF(H325&lt;E325,(E325-H325)/H325,IF(H325&gt;F325,(F325-H325)/H325,0))</f>
        <v>-0.431137724550898</v>
      </c>
      <c r="N325" s="9" t="s">
        <v>34</v>
      </c>
      <c r="O325" s="9" t="s">
        <v>34</v>
      </c>
    </row>
    <row r="326" customFormat="false" ht="15" hidden="false" customHeight="false" outlineLevel="0" collapsed="false">
      <c r="A326" s="6" t="s">
        <v>490</v>
      </c>
      <c r="B326" s="6" t="s">
        <v>364</v>
      </c>
      <c r="C326" s="6" t="s">
        <v>491</v>
      </c>
      <c r="D326" s="6" t="s">
        <v>30</v>
      </c>
      <c r="E326" s="7" t="n">
        <v>5.4</v>
      </c>
      <c r="F326" s="7" t="n">
        <v>5.4</v>
      </c>
      <c r="G326" s="6" t="s">
        <v>31</v>
      </c>
      <c r="H326" s="7" t="n">
        <v>1.85</v>
      </c>
      <c r="I326" s="7"/>
      <c r="J326" s="7"/>
      <c r="K326" s="6" t="s">
        <v>32</v>
      </c>
      <c r="L326" s="6" t="s">
        <v>93</v>
      </c>
      <c r="M326" s="8" t="n">
        <f aca="false">IF(H326&lt;E326,(E326-H326)/H326,IF(H326&gt;F326,(F326-H326)/H326,0))</f>
        <v>1.91891891891892</v>
      </c>
      <c r="N326" s="9" t="s">
        <v>34</v>
      </c>
      <c r="O326" s="9" t="s">
        <v>34</v>
      </c>
    </row>
    <row r="327" customFormat="false" ht="15" hidden="false" customHeight="false" outlineLevel="0" collapsed="false">
      <c r="A327" s="6" t="s">
        <v>490</v>
      </c>
      <c r="B327" s="6" t="s">
        <v>364</v>
      </c>
      <c r="C327" s="6" t="s">
        <v>491</v>
      </c>
      <c r="D327" s="6" t="s">
        <v>30</v>
      </c>
      <c r="E327" s="7" t="n">
        <v>5.4</v>
      </c>
      <c r="F327" s="7" t="n">
        <v>5.4</v>
      </c>
      <c r="G327" s="6" t="s">
        <v>147</v>
      </c>
      <c r="H327" s="7" t="n">
        <v>10.9</v>
      </c>
      <c r="I327" s="7"/>
      <c r="J327" s="7"/>
      <c r="K327" s="6" t="s">
        <v>32</v>
      </c>
      <c r="L327" s="6" t="s">
        <v>93</v>
      </c>
      <c r="M327" s="8" t="n">
        <f aca="false">IF(H327&lt;E327,(E327-H327)/H327,IF(H327&gt;F327,(F327-H327)/H327,0))</f>
        <v>-0.504587155963303</v>
      </c>
      <c r="N327" s="9" t="s">
        <v>34</v>
      </c>
      <c r="O327" s="9" t="s">
        <v>34</v>
      </c>
    </row>
    <row r="328" customFormat="false" ht="15" hidden="false" customHeight="false" outlineLevel="0" collapsed="false">
      <c r="A328" s="6" t="s">
        <v>490</v>
      </c>
      <c r="B328" s="6" t="s">
        <v>364</v>
      </c>
      <c r="C328" s="6" t="s">
        <v>491</v>
      </c>
      <c r="D328" s="6" t="s">
        <v>30</v>
      </c>
      <c r="E328" s="7" t="n">
        <v>5.4</v>
      </c>
      <c r="F328" s="7" t="n">
        <v>5.4</v>
      </c>
      <c r="G328" s="6" t="s">
        <v>39</v>
      </c>
      <c r="H328" s="7" t="n">
        <v>9.95</v>
      </c>
      <c r="I328" s="7"/>
      <c r="J328" s="7"/>
      <c r="K328" s="6" t="s">
        <v>40</v>
      </c>
      <c r="L328" s="6" t="s">
        <v>93</v>
      </c>
      <c r="M328" s="8" t="n">
        <f aca="false">IF(H328&lt;E328,(E328-H328)/H328,IF(H328&gt;F328,(F328-H328)/H328,0))</f>
        <v>-0.457286432160804</v>
      </c>
      <c r="N328" s="9" t="s">
        <v>34</v>
      </c>
      <c r="O328" s="9" t="s">
        <v>34</v>
      </c>
    </row>
    <row r="329" customFormat="false" ht="15" hidden="false" customHeight="false" outlineLevel="0" collapsed="false">
      <c r="A329" s="6" t="s">
        <v>490</v>
      </c>
      <c r="B329" s="6" t="s">
        <v>364</v>
      </c>
      <c r="C329" s="6" t="s">
        <v>491</v>
      </c>
      <c r="D329" s="6" t="s">
        <v>30</v>
      </c>
      <c r="E329" s="7" t="n">
        <v>5.4</v>
      </c>
      <c r="F329" s="7" t="n">
        <v>5.4</v>
      </c>
      <c r="G329" s="6" t="s">
        <v>226</v>
      </c>
      <c r="H329" s="7" t="n">
        <v>5.1</v>
      </c>
      <c r="I329" s="7"/>
      <c r="J329" s="7"/>
      <c r="K329" s="6" t="s">
        <v>40</v>
      </c>
      <c r="L329" s="6" t="s">
        <v>45</v>
      </c>
      <c r="M329" s="8" t="n">
        <f aca="false">IF(H329&lt;E329,(E329-H329)/H329,IF(H329&gt;F329,(F329-H329)/H329,0))</f>
        <v>0.0588235294117649</v>
      </c>
      <c r="N329" s="9" t="s">
        <v>34</v>
      </c>
      <c r="O329" s="9" t="s">
        <v>34</v>
      </c>
    </row>
    <row r="330" customFormat="false" ht="15" hidden="false" customHeight="false" outlineLevel="0" collapsed="false">
      <c r="A330" s="6" t="s">
        <v>492</v>
      </c>
      <c r="B330" s="6" t="s">
        <v>364</v>
      </c>
      <c r="C330" s="6" t="s">
        <v>493</v>
      </c>
      <c r="D330" s="6" t="s">
        <v>52</v>
      </c>
      <c r="E330" s="7" t="n">
        <v>8.98</v>
      </c>
      <c r="F330" s="7" t="n">
        <v>8.98</v>
      </c>
      <c r="G330" s="6" t="s">
        <v>31</v>
      </c>
      <c r="H330" s="7" t="n">
        <v>7.99</v>
      </c>
      <c r="I330" s="7"/>
      <c r="J330" s="7"/>
      <c r="K330" s="6" t="s">
        <v>32</v>
      </c>
      <c r="L330" s="6" t="s">
        <v>45</v>
      </c>
      <c r="M330" s="8" t="n">
        <f aca="false">IF(H330&lt;E330,(E330-H330)/H330,IF(H330&gt;F330,(F330-H330)/H330,0))</f>
        <v>0.123904881101377</v>
      </c>
      <c r="N330" s="9" t="s">
        <v>34</v>
      </c>
      <c r="O330" s="9" t="s">
        <v>34</v>
      </c>
    </row>
    <row r="331" customFormat="false" ht="15" hidden="false" customHeight="false" outlineLevel="0" collapsed="false">
      <c r="A331" s="6" t="s">
        <v>494</v>
      </c>
      <c r="B331" s="6" t="s">
        <v>364</v>
      </c>
      <c r="C331" s="6" t="s">
        <v>495</v>
      </c>
      <c r="D331" s="6" t="s">
        <v>472</v>
      </c>
      <c r="E331" s="7" t="n">
        <v>6.7</v>
      </c>
      <c r="F331" s="7" t="n">
        <v>6.7</v>
      </c>
      <c r="G331" s="6" t="s">
        <v>31</v>
      </c>
      <c r="H331" s="7" t="n">
        <v>6.79</v>
      </c>
      <c r="I331" s="7"/>
      <c r="J331" s="7"/>
      <c r="K331" s="6" t="s">
        <v>32</v>
      </c>
      <c r="L331" s="6" t="s">
        <v>93</v>
      </c>
      <c r="M331" s="8" t="n">
        <f aca="false">IF(H331&lt;E331,(E331-H331)/H331,IF(H331&gt;F331,(F331-H331)/H331,0))</f>
        <v>-0.0132547864506627</v>
      </c>
      <c r="N331" s="9" t="s">
        <v>34</v>
      </c>
      <c r="O331" s="9" t="s">
        <v>34</v>
      </c>
    </row>
    <row r="332" customFormat="false" ht="15" hidden="false" customHeight="false" outlineLevel="0" collapsed="false">
      <c r="A332" s="6" t="s">
        <v>494</v>
      </c>
      <c r="B332" s="6" t="s">
        <v>364</v>
      </c>
      <c r="C332" s="6" t="s">
        <v>495</v>
      </c>
      <c r="D332" s="6" t="s">
        <v>472</v>
      </c>
      <c r="E332" s="7" t="n">
        <v>6.7</v>
      </c>
      <c r="F332" s="7" t="n">
        <v>6.7</v>
      </c>
      <c r="G332" s="6" t="s">
        <v>147</v>
      </c>
      <c r="H332" s="7" t="n">
        <v>6.95</v>
      </c>
      <c r="I332" s="7"/>
      <c r="J332" s="7"/>
      <c r="K332" s="6" t="s">
        <v>32</v>
      </c>
      <c r="L332" s="6" t="s">
        <v>45</v>
      </c>
      <c r="M332" s="8" t="n">
        <f aca="false">IF(H332&lt;E332,(E332-H332)/H332,IF(H332&gt;F332,(F332-H332)/H332,0))</f>
        <v>-0.0359712230215827</v>
      </c>
      <c r="N332" s="9" t="s">
        <v>34</v>
      </c>
      <c r="O332" s="9" t="s">
        <v>34</v>
      </c>
    </row>
    <row r="333" customFormat="false" ht="15" hidden="false" customHeight="false" outlineLevel="0" collapsed="false">
      <c r="A333" s="6" t="s">
        <v>494</v>
      </c>
      <c r="B333" s="6" t="s">
        <v>364</v>
      </c>
      <c r="C333" s="6" t="s">
        <v>495</v>
      </c>
      <c r="D333" s="6" t="s">
        <v>472</v>
      </c>
      <c r="E333" s="7" t="n">
        <v>6.7</v>
      </c>
      <c r="F333" s="7" t="n">
        <v>6.7</v>
      </c>
      <c r="G333" s="6" t="s">
        <v>226</v>
      </c>
      <c r="H333" s="7" t="n">
        <v>5.93</v>
      </c>
      <c r="I333" s="7"/>
      <c r="J333" s="7"/>
      <c r="K333" s="6" t="s">
        <v>40</v>
      </c>
      <c r="L333" s="6" t="s">
        <v>94</v>
      </c>
      <c r="M333" s="8" t="n">
        <f aca="false">IF(H333&lt;E333,(E333-H333)/H333,IF(H333&gt;F333,(F333-H333)/H333,0))</f>
        <v>0.129848229342327</v>
      </c>
      <c r="N333" s="9" t="s">
        <v>34</v>
      </c>
      <c r="O333" s="9" t="s">
        <v>34</v>
      </c>
    </row>
    <row r="334" customFormat="false" ht="15" hidden="false" customHeight="false" outlineLevel="0" collapsed="false">
      <c r="A334" s="6" t="s">
        <v>496</v>
      </c>
      <c r="B334" s="6" t="s">
        <v>364</v>
      </c>
      <c r="C334" s="6" t="s">
        <v>497</v>
      </c>
      <c r="D334" s="6" t="s">
        <v>472</v>
      </c>
      <c r="E334" s="7" t="n">
        <v>7.1</v>
      </c>
      <c r="F334" s="7" t="n">
        <v>7.1</v>
      </c>
      <c r="G334" s="6" t="s">
        <v>31</v>
      </c>
      <c r="H334" s="7" t="n">
        <v>6.79</v>
      </c>
      <c r="I334" s="7"/>
      <c r="J334" s="7"/>
      <c r="K334" s="6" t="s">
        <v>32</v>
      </c>
      <c r="L334" s="6" t="s">
        <v>93</v>
      </c>
      <c r="M334" s="8" t="n">
        <f aca="false">IF(H334&lt;E334,(E334-H334)/H334,IF(H334&gt;F334,(F334-H334)/H334,0))</f>
        <v>0.0456553755522827</v>
      </c>
      <c r="N334" s="9" t="s">
        <v>34</v>
      </c>
      <c r="O334" s="9" t="s">
        <v>34</v>
      </c>
    </row>
    <row r="335" customFormat="false" ht="15" hidden="false" customHeight="false" outlineLevel="0" collapsed="false">
      <c r="A335" s="6" t="s">
        <v>496</v>
      </c>
      <c r="B335" s="6" t="s">
        <v>364</v>
      </c>
      <c r="C335" s="6" t="s">
        <v>497</v>
      </c>
      <c r="D335" s="6" t="s">
        <v>472</v>
      </c>
      <c r="E335" s="7" t="n">
        <v>7.1</v>
      </c>
      <c r="F335" s="7" t="n">
        <v>7.1</v>
      </c>
      <c r="G335" s="6" t="s">
        <v>147</v>
      </c>
      <c r="H335" s="7" t="n">
        <v>7.5</v>
      </c>
      <c r="I335" s="7"/>
      <c r="J335" s="7"/>
      <c r="K335" s="6" t="s">
        <v>32</v>
      </c>
      <c r="L335" s="6" t="s">
        <v>45</v>
      </c>
      <c r="M335" s="8" t="n">
        <f aca="false">IF(H335&lt;E335,(E335-H335)/H335,IF(H335&gt;F335,(F335-H335)/H335,0))</f>
        <v>-0.0533333333333334</v>
      </c>
      <c r="N335" s="9" t="s">
        <v>34</v>
      </c>
      <c r="O335" s="9" t="s">
        <v>34</v>
      </c>
    </row>
    <row r="336" customFormat="false" ht="15" hidden="false" customHeight="false" outlineLevel="0" collapsed="false">
      <c r="A336" s="6" t="s">
        <v>496</v>
      </c>
      <c r="B336" s="6" t="s">
        <v>364</v>
      </c>
      <c r="C336" s="6" t="s">
        <v>497</v>
      </c>
      <c r="D336" s="6" t="s">
        <v>472</v>
      </c>
      <c r="E336" s="7" t="n">
        <v>7.1</v>
      </c>
      <c r="F336" s="7" t="n">
        <v>7.1</v>
      </c>
      <c r="G336" s="6" t="s">
        <v>226</v>
      </c>
      <c r="H336" s="7" t="n">
        <v>5.93</v>
      </c>
      <c r="I336" s="7"/>
      <c r="J336" s="7"/>
      <c r="K336" s="6" t="s">
        <v>40</v>
      </c>
      <c r="L336" s="6" t="s">
        <v>45</v>
      </c>
      <c r="M336" s="8" t="n">
        <f aca="false">IF(H336&lt;E336,(E336-H336)/H336,IF(H336&gt;F336,(F336-H336)/H336,0))</f>
        <v>0.197301854974705</v>
      </c>
      <c r="N336" s="9" t="s">
        <v>34</v>
      </c>
      <c r="O336" s="9" t="s">
        <v>34</v>
      </c>
    </row>
    <row r="337" customFormat="false" ht="15" hidden="false" customHeight="false" outlineLevel="0" collapsed="false">
      <c r="A337" s="6" t="s">
        <v>498</v>
      </c>
      <c r="B337" s="6" t="s">
        <v>364</v>
      </c>
      <c r="C337" s="6" t="s">
        <v>499</v>
      </c>
      <c r="D337" s="6" t="s">
        <v>472</v>
      </c>
      <c r="E337" s="7" t="n">
        <v>7.3</v>
      </c>
      <c r="F337" s="7" t="n">
        <v>7.3</v>
      </c>
      <c r="G337" s="6" t="s">
        <v>31</v>
      </c>
      <c r="H337" s="7" t="n">
        <v>6.79</v>
      </c>
      <c r="I337" s="7"/>
      <c r="J337" s="7"/>
      <c r="K337" s="6" t="s">
        <v>32</v>
      </c>
      <c r="L337" s="6" t="s">
        <v>93</v>
      </c>
      <c r="M337" s="8" t="n">
        <f aca="false">IF(H337&lt;E337,(E337-H337)/H337,IF(H337&gt;F337,(F337-H337)/H337,0))</f>
        <v>0.0751104565537555</v>
      </c>
      <c r="N337" s="9" t="s">
        <v>34</v>
      </c>
      <c r="O337" s="9" t="s">
        <v>34</v>
      </c>
    </row>
    <row r="338" customFormat="false" ht="15" hidden="false" customHeight="false" outlineLevel="0" collapsed="false">
      <c r="A338" s="6" t="s">
        <v>498</v>
      </c>
      <c r="B338" s="6" t="s">
        <v>364</v>
      </c>
      <c r="C338" s="6" t="s">
        <v>499</v>
      </c>
      <c r="D338" s="6" t="s">
        <v>472</v>
      </c>
      <c r="E338" s="7" t="n">
        <v>7.3</v>
      </c>
      <c r="F338" s="7" t="n">
        <v>7.3</v>
      </c>
      <c r="G338" s="6" t="s">
        <v>147</v>
      </c>
      <c r="H338" s="7" t="n">
        <v>7.9</v>
      </c>
      <c r="I338" s="7"/>
      <c r="J338" s="7"/>
      <c r="K338" s="6" t="s">
        <v>32</v>
      </c>
      <c r="L338" s="6" t="s">
        <v>45</v>
      </c>
      <c r="M338" s="8" t="n">
        <f aca="false">IF(H338&lt;E338,(E338-H338)/H338,IF(H338&gt;F338,(F338-H338)/H338,0))</f>
        <v>-0.0759493670886077</v>
      </c>
      <c r="N338" s="9" t="s">
        <v>34</v>
      </c>
      <c r="O338" s="9" t="s">
        <v>34</v>
      </c>
    </row>
    <row r="339" customFormat="false" ht="15" hidden="false" customHeight="false" outlineLevel="0" collapsed="false">
      <c r="A339" s="6" t="s">
        <v>498</v>
      </c>
      <c r="B339" s="6" t="s">
        <v>364</v>
      </c>
      <c r="C339" s="6" t="s">
        <v>499</v>
      </c>
      <c r="D339" s="6" t="s">
        <v>472</v>
      </c>
      <c r="E339" s="7" t="n">
        <v>7.3</v>
      </c>
      <c r="F339" s="7" t="n">
        <v>7.3</v>
      </c>
      <c r="G339" s="6" t="s">
        <v>226</v>
      </c>
      <c r="H339" s="7" t="n">
        <v>6</v>
      </c>
      <c r="I339" s="7"/>
      <c r="J339" s="7"/>
      <c r="K339" s="6" t="s">
        <v>40</v>
      </c>
      <c r="L339" s="6" t="s">
        <v>45</v>
      </c>
      <c r="M339" s="8" t="n">
        <f aca="false">IF(H339&lt;E339,(E339-H339)/H339,IF(H339&gt;F339,(F339-H339)/H339,0))</f>
        <v>0.216666666666667</v>
      </c>
      <c r="N339" s="9" t="s">
        <v>34</v>
      </c>
      <c r="O339" s="9" t="s">
        <v>34</v>
      </c>
    </row>
    <row r="340" customFormat="false" ht="15" hidden="false" customHeight="false" outlineLevel="0" collapsed="false">
      <c r="A340" s="6" t="s">
        <v>500</v>
      </c>
      <c r="B340" s="6" t="s">
        <v>364</v>
      </c>
      <c r="C340" s="6" t="s">
        <v>501</v>
      </c>
      <c r="D340" s="6" t="s">
        <v>472</v>
      </c>
      <c r="E340" s="7" t="n">
        <v>8.1</v>
      </c>
      <c r="F340" s="7" t="n">
        <v>8.1</v>
      </c>
      <c r="G340" s="6" t="s">
        <v>31</v>
      </c>
      <c r="H340" s="7" t="n">
        <v>7.69</v>
      </c>
      <c r="I340" s="7"/>
      <c r="J340" s="7"/>
      <c r="K340" s="6" t="s">
        <v>32</v>
      </c>
      <c r="L340" s="6" t="s">
        <v>93</v>
      </c>
      <c r="M340" s="8" t="n">
        <f aca="false">IF(H340&lt;E340,(E340-H340)/H340,IF(H340&gt;F340,(F340-H340)/H340,0))</f>
        <v>0.0533159947984394</v>
      </c>
      <c r="N340" s="9" t="s">
        <v>34</v>
      </c>
      <c r="O340" s="9" t="s">
        <v>34</v>
      </c>
    </row>
    <row r="341" customFormat="false" ht="15" hidden="false" customHeight="false" outlineLevel="0" collapsed="false">
      <c r="A341" s="6" t="s">
        <v>502</v>
      </c>
      <c r="B341" s="6" t="s">
        <v>364</v>
      </c>
      <c r="C341" s="6" t="s">
        <v>503</v>
      </c>
      <c r="D341" s="6" t="s">
        <v>472</v>
      </c>
      <c r="E341" s="7" t="n">
        <v>7.3</v>
      </c>
      <c r="F341" s="7" t="n">
        <v>7.3</v>
      </c>
      <c r="G341" s="6" t="s">
        <v>31</v>
      </c>
      <c r="H341" s="7" t="n">
        <v>6.79</v>
      </c>
      <c r="I341" s="7"/>
      <c r="J341" s="7"/>
      <c r="K341" s="6" t="s">
        <v>32</v>
      </c>
      <c r="L341" s="6" t="s">
        <v>93</v>
      </c>
      <c r="M341" s="8" t="n">
        <f aca="false">IF(H341&lt;E341,(E341-H341)/H341,IF(H341&gt;F341,(F341-H341)/H341,0))</f>
        <v>0.0751104565537555</v>
      </c>
      <c r="N341" s="9" t="s">
        <v>34</v>
      </c>
      <c r="O341" s="9" t="s">
        <v>34</v>
      </c>
    </row>
    <row r="342" customFormat="false" ht="15" hidden="false" customHeight="false" outlineLevel="0" collapsed="false">
      <c r="A342" s="6" t="s">
        <v>502</v>
      </c>
      <c r="B342" s="6" t="s">
        <v>364</v>
      </c>
      <c r="C342" s="6" t="s">
        <v>503</v>
      </c>
      <c r="D342" s="6" t="s">
        <v>472</v>
      </c>
      <c r="E342" s="7" t="n">
        <v>7.3</v>
      </c>
      <c r="F342" s="7" t="n">
        <v>7.3</v>
      </c>
      <c r="G342" s="6" t="s">
        <v>147</v>
      </c>
      <c r="H342" s="7" t="n">
        <v>6.95</v>
      </c>
      <c r="I342" s="7"/>
      <c r="J342" s="7"/>
      <c r="K342" s="6" t="s">
        <v>32</v>
      </c>
      <c r="L342" s="6" t="s">
        <v>93</v>
      </c>
      <c r="M342" s="8" t="n">
        <f aca="false">IF(H342&lt;E342,(E342-H342)/H342,IF(H342&gt;F342,(F342-H342)/H342,0))</f>
        <v>0.0503597122302158</v>
      </c>
      <c r="N342" s="9" t="s">
        <v>34</v>
      </c>
      <c r="O342" s="9" t="s">
        <v>34</v>
      </c>
    </row>
    <row r="343" customFormat="false" ht="15" hidden="false" customHeight="false" outlineLevel="0" collapsed="false">
      <c r="A343" s="6" t="s">
        <v>502</v>
      </c>
      <c r="B343" s="6" t="s">
        <v>364</v>
      </c>
      <c r="C343" s="6" t="s">
        <v>503</v>
      </c>
      <c r="D343" s="6" t="s">
        <v>472</v>
      </c>
      <c r="E343" s="7" t="n">
        <v>7.3</v>
      </c>
      <c r="F343" s="7" t="n">
        <v>7.3</v>
      </c>
      <c r="G343" s="6" t="s">
        <v>226</v>
      </c>
      <c r="H343" s="7" t="n">
        <v>6.39</v>
      </c>
      <c r="I343" s="7"/>
      <c r="J343" s="7"/>
      <c r="K343" s="6" t="s">
        <v>40</v>
      </c>
      <c r="L343" s="6" t="s">
        <v>45</v>
      </c>
      <c r="M343" s="8" t="n">
        <f aca="false">IF(H343&lt;E343,(E343-H343)/H343,IF(H343&gt;F343,(F343-H343)/H343,0))</f>
        <v>0.142410015649452</v>
      </c>
      <c r="N343" s="9" t="s">
        <v>34</v>
      </c>
      <c r="O343" s="9" t="s">
        <v>34</v>
      </c>
    </row>
    <row r="344" customFormat="false" ht="15" hidden="false" customHeight="false" outlineLevel="0" collapsed="false">
      <c r="A344" s="6" t="s">
        <v>504</v>
      </c>
      <c r="B344" s="6" t="s">
        <v>364</v>
      </c>
      <c r="C344" s="6" t="s">
        <v>505</v>
      </c>
      <c r="D344" s="6" t="s">
        <v>472</v>
      </c>
      <c r="E344" s="7" t="n">
        <v>8.5</v>
      </c>
      <c r="F344" s="7" t="n">
        <v>8.5</v>
      </c>
      <c r="G344" s="6" t="s">
        <v>31</v>
      </c>
      <c r="H344" s="7" t="n">
        <v>6.79</v>
      </c>
      <c r="I344" s="7"/>
      <c r="J344" s="7"/>
      <c r="K344" s="6" t="s">
        <v>32</v>
      </c>
      <c r="L344" s="6" t="s">
        <v>93</v>
      </c>
      <c r="M344" s="8" t="n">
        <f aca="false">IF(H344&lt;E344,(E344-H344)/H344,IF(H344&gt;F344,(F344-H344)/H344,0))</f>
        <v>0.251840942562592</v>
      </c>
      <c r="N344" s="9" t="s">
        <v>34</v>
      </c>
      <c r="O344" s="9" t="s">
        <v>34</v>
      </c>
    </row>
    <row r="345" customFormat="false" ht="15" hidden="false" customHeight="false" outlineLevel="0" collapsed="false">
      <c r="A345" s="6" t="s">
        <v>504</v>
      </c>
      <c r="B345" s="6" t="s">
        <v>364</v>
      </c>
      <c r="C345" s="6" t="s">
        <v>505</v>
      </c>
      <c r="D345" s="6" t="s">
        <v>472</v>
      </c>
      <c r="E345" s="7" t="n">
        <v>8.5</v>
      </c>
      <c r="F345" s="7" t="n">
        <v>8.5</v>
      </c>
      <c r="G345" s="6" t="s">
        <v>147</v>
      </c>
      <c r="H345" s="7" t="n">
        <v>8.1</v>
      </c>
      <c r="I345" s="7"/>
      <c r="J345" s="7"/>
      <c r="K345" s="6" t="s">
        <v>32</v>
      </c>
      <c r="L345" s="6" t="s">
        <v>45</v>
      </c>
      <c r="M345" s="8" t="n">
        <f aca="false">IF(H345&lt;E345,(E345-H345)/H345,IF(H345&gt;F345,(F345-H345)/H345,0))</f>
        <v>0.0493827160493828</v>
      </c>
      <c r="N345" s="9" t="s">
        <v>34</v>
      </c>
      <c r="O345" s="9" t="s">
        <v>34</v>
      </c>
    </row>
    <row r="346" customFormat="false" ht="15" hidden="false" customHeight="false" outlineLevel="0" collapsed="false">
      <c r="A346" s="6" t="s">
        <v>504</v>
      </c>
      <c r="B346" s="6" t="s">
        <v>364</v>
      </c>
      <c r="C346" s="6" t="s">
        <v>505</v>
      </c>
      <c r="D346" s="6" t="s">
        <v>472</v>
      </c>
      <c r="E346" s="7" t="n">
        <v>8.5</v>
      </c>
      <c r="F346" s="7" t="n">
        <v>8.5</v>
      </c>
      <c r="G346" s="6" t="s">
        <v>226</v>
      </c>
      <c r="H346" s="7" t="n">
        <v>7.12</v>
      </c>
      <c r="I346" s="7"/>
      <c r="J346" s="7"/>
      <c r="K346" s="6" t="s">
        <v>40</v>
      </c>
      <c r="L346" s="6" t="s">
        <v>45</v>
      </c>
      <c r="M346" s="8" t="n">
        <f aca="false">IF(H346&lt;E346,(E346-H346)/H346,IF(H346&gt;F346,(F346-H346)/H346,0))</f>
        <v>0.193820224719101</v>
      </c>
      <c r="N346" s="9" t="s">
        <v>34</v>
      </c>
      <c r="O346" s="9" t="s">
        <v>34</v>
      </c>
    </row>
    <row r="347" customFormat="false" ht="15" hidden="false" customHeight="false" outlineLevel="0" collapsed="false">
      <c r="A347" s="6" t="s">
        <v>506</v>
      </c>
      <c r="B347" s="6" t="s">
        <v>364</v>
      </c>
      <c r="C347" s="6" t="s">
        <v>507</v>
      </c>
      <c r="D347" s="6" t="s">
        <v>472</v>
      </c>
      <c r="E347" s="7" t="n">
        <v>8.98</v>
      </c>
      <c r="F347" s="7" t="n">
        <v>8.98</v>
      </c>
      <c r="G347" s="6" t="s">
        <v>31</v>
      </c>
      <c r="H347" s="7" t="n">
        <v>6.79</v>
      </c>
      <c r="I347" s="7"/>
      <c r="J347" s="7"/>
      <c r="K347" s="6" t="s">
        <v>32</v>
      </c>
      <c r="L347" s="6" t="s">
        <v>93</v>
      </c>
      <c r="M347" s="8" t="n">
        <f aca="false">IF(H347&lt;E347,(E347-H347)/H347,IF(H347&gt;F347,(F347-H347)/H347,0))</f>
        <v>0.322533136966127</v>
      </c>
      <c r="N347" s="9" t="s">
        <v>34</v>
      </c>
      <c r="O347" s="9" t="s">
        <v>34</v>
      </c>
    </row>
    <row r="348" customFormat="false" ht="15" hidden="false" customHeight="false" outlineLevel="0" collapsed="false">
      <c r="A348" s="6" t="s">
        <v>506</v>
      </c>
      <c r="B348" s="6" t="s">
        <v>364</v>
      </c>
      <c r="C348" s="6" t="s">
        <v>507</v>
      </c>
      <c r="D348" s="6" t="s">
        <v>472</v>
      </c>
      <c r="E348" s="7" t="n">
        <v>8.98</v>
      </c>
      <c r="F348" s="7" t="n">
        <v>8.98</v>
      </c>
      <c r="G348" s="6" t="s">
        <v>147</v>
      </c>
      <c r="H348" s="7" t="n">
        <v>6.95</v>
      </c>
      <c r="I348" s="7"/>
      <c r="J348" s="7"/>
      <c r="K348" s="6" t="s">
        <v>32</v>
      </c>
      <c r="L348" s="6" t="s">
        <v>93</v>
      </c>
      <c r="M348" s="8" t="n">
        <f aca="false">IF(H348&lt;E348,(E348-H348)/H348,IF(H348&gt;F348,(F348-H348)/H348,0))</f>
        <v>0.292086330935252</v>
      </c>
      <c r="N348" s="9" t="s">
        <v>34</v>
      </c>
      <c r="O348" s="9" t="s">
        <v>34</v>
      </c>
    </row>
    <row r="349" customFormat="false" ht="15" hidden="false" customHeight="false" outlineLevel="0" collapsed="false">
      <c r="A349" s="6" t="s">
        <v>506</v>
      </c>
      <c r="B349" s="6" t="s">
        <v>364</v>
      </c>
      <c r="C349" s="6" t="s">
        <v>507</v>
      </c>
      <c r="D349" s="6" t="s">
        <v>472</v>
      </c>
      <c r="E349" s="7" t="n">
        <v>8.98</v>
      </c>
      <c r="F349" s="7" t="n">
        <v>8.98</v>
      </c>
      <c r="G349" s="6" t="s">
        <v>226</v>
      </c>
      <c r="H349" s="7" t="n">
        <v>7.92</v>
      </c>
      <c r="I349" s="7"/>
      <c r="J349" s="7"/>
      <c r="K349" s="6" t="s">
        <v>40</v>
      </c>
      <c r="L349" s="6" t="s">
        <v>45</v>
      </c>
      <c r="M349" s="8" t="n">
        <f aca="false">IF(H349&lt;E349,(E349-H349)/H349,IF(H349&gt;F349,(F349-H349)/H349,0))</f>
        <v>0.133838383838384</v>
      </c>
      <c r="N349" s="9" t="s">
        <v>34</v>
      </c>
      <c r="O349" s="9" t="s">
        <v>34</v>
      </c>
    </row>
    <row r="350" customFormat="false" ht="15" hidden="false" customHeight="false" outlineLevel="0" collapsed="false">
      <c r="A350" s="6" t="s">
        <v>508</v>
      </c>
      <c r="B350" s="6" t="s">
        <v>364</v>
      </c>
      <c r="C350" s="6" t="s">
        <v>509</v>
      </c>
      <c r="D350" s="6" t="s">
        <v>510</v>
      </c>
      <c r="E350" s="7" t="n">
        <v>1.15</v>
      </c>
      <c r="F350" s="7" t="n">
        <v>1.15</v>
      </c>
      <c r="G350" s="6" t="s">
        <v>31</v>
      </c>
      <c r="H350" s="7" t="n">
        <v>1.2</v>
      </c>
      <c r="I350" s="7"/>
      <c r="J350" s="7"/>
      <c r="K350" s="6" t="s">
        <v>32</v>
      </c>
      <c r="L350" s="6" t="s">
        <v>93</v>
      </c>
      <c r="M350" s="8" t="n">
        <f aca="false">IF(H350&lt;E350,(E350-H350)/H350,IF(H350&gt;F350,(F350-H350)/H350,0))</f>
        <v>-0.0416666666666667</v>
      </c>
      <c r="N350" s="9" t="s">
        <v>34</v>
      </c>
      <c r="O350" s="9" t="s">
        <v>34</v>
      </c>
    </row>
    <row r="351" customFormat="false" ht="15" hidden="false" customHeight="false" outlineLevel="0" collapsed="false">
      <c r="A351" s="6" t="s">
        <v>511</v>
      </c>
      <c r="B351" s="6" t="s">
        <v>364</v>
      </c>
      <c r="C351" s="6" t="s">
        <v>512</v>
      </c>
      <c r="D351" s="6" t="s">
        <v>513</v>
      </c>
      <c r="E351" s="7" t="n">
        <v>23.85</v>
      </c>
      <c r="F351" s="7" t="n">
        <v>36</v>
      </c>
      <c r="G351" s="6" t="s">
        <v>31</v>
      </c>
      <c r="H351" s="7" t="n">
        <v>23.8</v>
      </c>
      <c r="I351" s="7"/>
      <c r="J351" s="7"/>
      <c r="K351" s="6" t="s">
        <v>40</v>
      </c>
      <c r="L351" s="6" t="s">
        <v>33</v>
      </c>
      <c r="M351" s="8" t="n">
        <f aca="false">IF(H351&lt;E351,(E351-H351)/H351,IF(H351&gt;F351,(F351-H351)/H351,0))</f>
        <v>0.00210084033613448</v>
      </c>
      <c r="N351" s="9" t="s">
        <v>34</v>
      </c>
      <c r="O351" s="9" t="s">
        <v>34</v>
      </c>
    </row>
    <row r="352" customFormat="false" ht="15" hidden="false" customHeight="false" outlineLevel="0" collapsed="false">
      <c r="A352" s="6" t="s">
        <v>514</v>
      </c>
      <c r="B352" s="6" t="s">
        <v>364</v>
      </c>
      <c r="C352" s="6" t="s">
        <v>515</v>
      </c>
      <c r="D352" s="6" t="s">
        <v>30</v>
      </c>
      <c r="E352" s="7" t="n">
        <v>7.5</v>
      </c>
      <c r="F352" s="7" t="n">
        <v>7.5</v>
      </c>
      <c r="G352" s="6" t="s">
        <v>31</v>
      </c>
      <c r="H352" s="7" t="n">
        <v>2.89</v>
      </c>
      <c r="I352" s="7"/>
      <c r="J352" s="7"/>
      <c r="K352" s="6" t="s">
        <v>40</v>
      </c>
      <c r="L352" s="6" t="s">
        <v>33</v>
      </c>
      <c r="M352" s="8" t="n">
        <f aca="false">IF(H352&lt;E352,(E352-H352)/H352,IF(H352&gt;F352,(F352-H352)/H352,0))</f>
        <v>1.59515570934256</v>
      </c>
      <c r="N352" s="9" t="s">
        <v>34</v>
      </c>
      <c r="O352" s="9" t="s">
        <v>34</v>
      </c>
    </row>
    <row r="353" customFormat="false" ht="15" hidden="false" customHeight="false" outlineLevel="0" collapsed="false">
      <c r="A353" s="6" t="s">
        <v>514</v>
      </c>
      <c r="B353" s="6" t="s">
        <v>364</v>
      </c>
      <c r="C353" s="6" t="s">
        <v>515</v>
      </c>
      <c r="D353" s="6" t="s">
        <v>30</v>
      </c>
      <c r="E353" s="7" t="n">
        <v>7.5</v>
      </c>
      <c r="F353" s="7" t="n">
        <v>7.5</v>
      </c>
      <c r="G353" s="6" t="s">
        <v>39</v>
      </c>
      <c r="H353" s="7" t="n">
        <v>4.44</v>
      </c>
      <c r="I353" s="7"/>
      <c r="J353" s="7"/>
      <c r="K353" s="6" t="s">
        <v>40</v>
      </c>
      <c r="L353" s="6" t="s">
        <v>33</v>
      </c>
      <c r="M353" s="8" t="n">
        <f aca="false">IF(H353&lt;E353,(E353-H353)/H353,IF(H353&gt;F353,(F353-H353)/H353,0))</f>
        <v>0.689189189189189</v>
      </c>
      <c r="N353" s="9" t="s">
        <v>34</v>
      </c>
      <c r="O353" s="9" t="s">
        <v>34</v>
      </c>
    </row>
    <row r="354" customFormat="false" ht="15" hidden="false" customHeight="false" outlineLevel="0" collapsed="false">
      <c r="A354" s="6" t="s">
        <v>514</v>
      </c>
      <c r="B354" s="6" t="s">
        <v>364</v>
      </c>
      <c r="C354" s="6" t="s">
        <v>515</v>
      </c>
      <c r="D354" s="6" t="s">
        <v>30</v>
      </c>
      <c r="E354" s="7" t="n">
        <v>7.5</v>
      </c>
      <c r="F354" s="7" t="n">
        <v>7.5</v>
      </c>
      <c r="G354" s="6" t="s">
        <v>226</v>
      </c>
      <c r="H354" s="7" t="n">
        <v>12.8</v>
      </c>
      <c r="I354" s="7"/>
      <c r="J354" s="7"/>
      <c r="K354" s="6" t="s">
        <v>40</v>
      </c>
      <c r="L354" s="6" t="s">
        <v>33</v>
      </c>
      <c r="M354" s="8" t="n">
        <f aca="false">IF(H354&lt;E354,(E354-H354)/H354,IF(H354&gt;F354,(F354-H354)/H354,0))</f>
        <v>-0.4140625</v>
      </c>
      <c r="N354" s="9" t="s">
        <v>34</v>
      </c>
      <c r="O354" s="9" t="s">
        <v>34</v>
      </c>
    </row>
    <row r="355" customFormat="false" ht="15" hidden="false" customHeight="false" outlineLevel="0" collapsed="false">
      <c r="A355" s="6" t="s">
        <v>516</v>
      </c>
      <c r="B355" s="6" t="s">
        <v>364</v>
      </c>
      <c r="C355" s="6" t="s">
        <v>517</v>
      </c>
      <c r="D355" s="6" t="s">
        <v>366</v>
      </c>
      <c r="E355" s="7" t="n">
        <v>7.2</v>
      </c>
      <c r="F355" s="7" t="n">
        <v>7.2</v>
      </c>
      <c r="G355" s="6" t="s">
        <v>31</v>
      </c>
      <c r="H355" s="7" t="n">
        <v>8.09</v>
      </c>
      <c r="I355" s="7"/>
      <c r="J355" s="7"/>
      <c r="K355" s="6" t="s">
        <v>32</v>
      </c>
      <c r="L355" s="6" t="s">
        <v>33</v>
      </c>
      <c r="M355" s="8" t="n">
        <f aca="false">IF(H355&lt;E355,(E355-H355)/H355,IF(H355&gt;F355,(F355-H355)/H355,0))</f>
        <v>-0.110012360939431</v>
      </c>
      <c r="N355" s="9" t="s">
        <v>34</v>
      </c>
      <c r="O355" s="9" t="s">
        <v>34</v>
      </c>
    </row>
    <row r="356" customFormat="false" ht="15" hidden="false" customHeight="false" outlineLevel="0" collapsed="false">
      <c r="A356" s="6" t="s">
        <v>516</v>
      </c>
      <c r="B356" s="6" t="s">
        <v>364</v>
      </c>
      <c r="C356" s="6" t="s">
        <v>517</v>
      </c>
      <c r="D356" s="6" t="s">
        <v>366</v>
      </c>
      <c r="E356" s="7" t="n">
        <v>7.2</v>
      </c>
      <c r="F356" s="7" t="n">
        <v>7.2</v>
      </c>
      <c r="G356" s="6" t="s">
        <v>39</v>
      </c>
      <c r="H356" s="7" t="n">
        <v>3.49</v>
      </c>
      <c r="I356" s="7"/>
      <c r="J356" s="7"/>
      <c r="K356" s="6" t="s">
        <v>40</v>
      </c>
      <c r="L356" s="6" t="s">
        <v>33</v>
      </c>
      <c r="M356" s="8" t="n">
        <f aca="false">IF(H356&lt;E356,(E356-H356)/H356,IF(H356&gt;F356,(F356-H356)/H356,0))</f>
        <v>1.06303724928367</v>
      </c>
      <c r="N356" s="9" t="s">
        <v>34</v>
      </c>
      <c r="O356" s="9" t="s">
        <v>34</v>
      </c>
    </row>
    <row r="357" customFormat="false" ht="15" hidden="false" customHeight="false" outlineLevel="0" collapsed="false">
      <c r="A357" s="6" t="s">
        <v>518</v>
      </c>
      <c r="B357" s="6" t="s">
        <v>364</v>
      </c>
      <c r="C357" s="6" t="s">
        <v>519</v>
      </c>
      <c r="D357" s="6" t="s">
        <v>52</v>
      </c>
      <c r="E357" s="7" t="n">
        <v>17.98</v>
      </c>
      <c r="F357" s="7" t="n">
        <v>22.5</v>
      </c>
      <c r="G357" s="6" t="s">
        <v>147</v>
      </c>
      <c r="H357" s="7" t="n">
        <v>19.9</v>
      </c>
      <c r="I357" s="7" t="n">
        <v>19.9</v>
      </c>
      <c r="J357" s="7" t="n">
        <v>24.9</v>
      </c>
      <c r="K357" s="6" t="s">
        <v>32</v>
      </c>
      <c r="L357" s="6" t="s">
        <v>33</v>
      </c>
      <c r="M357" s="8" t="n">
        <f aca="false">IF(H357&lt;E357,(E357-H357)/H357,IF(H357&gt;F357,(F357-H357)/H357,0))</f>
        <v>0</v>
      </c>
      <c r="N357" s="9" t="s">
        <v>34</v>
      </c>
      <c r="O357" s="9" t="s">
        <v>34</v>
      </c>
    </row>
    <row r="358" customFormat="false" ht="15" hidden="false" customHeight="false" outlineLevel="0" collapsed="false">
      <c r="A358" s="6" t="s">
        <v>520</v>
      </c>
      <c r="B358" s="6" t="s">
        <v>364</v>
      </c>
      <c r="C358" s="6" t="s">
        <v>521</v>
      </c>
      <c r="D358" s="6" t="s">
        <v>366</v>
      </c>
      <c r="E358" s="7" t="n">
        <v>8.1</v>
      </c>
      <c r="F358" s="7" t="n">
        <v>8.1</v>
      </c>
      <c r="G358" s="6" t="s">
        <v>31</v>
      </c>
      <c r="H358" s="7" t="n">
        <v>6.99</v>
      </c>
      <c r="I358" s="7"/>
      <c r="J358" s="7"/>
      <c r="K358" s="6" t="s">
        <v>32</v>
      </c>
      <c r="L358" s="6" t="s">
        <v>33</v>
      </c>
      <c r="M358" s="8" t="n">
        <f aca="false">IF(H358&lt;E358,(E358-H358)/H358,IF(H358&gt;F358,(F358-H358)/H358,0))</f>
        <v>0.158798283261802</v>
      </c>
      <c r="N358" s="9" t="s">
        <v>34</v>
      </c>
      <c r="O358" s="9" t="s">
        <v>34</v>
      </c>
    </row>
    <row r="359" customFormat="false" ht="15" hidden="false" customHeight="false" outlineLevel="0" collapsed="false">
      <c r="A359" s="6" t="s">
        <v>522</v>
      </c>
      <c r="B359" s="6" t="s">
        <v>364</v>
      </c>
      <c r="C359" s="6" t="s">
        <v>523</v>
      </c>
      <c r="D359" s="6" t="s">
        <v>366</v>
      </c>
      <c r="E359" s="7" t="n">
        <v>7.7</v>
      </c>
      <c r="F359" s="7" t="n">
        <v>7.7</v>
      </c>
      <c r="G359" s="6" t="s">
        <v>31</v>
      </c>
      <c r="H359" s="7" t="n">
        <v>7.59</v>
      </c>
      <c r="I359" s="7"/>
      <c r="J359" s="7"/>
      <c r="K359" s="6" t="s">
        <v>32</v>
      </c>
      <c r="L359" s="6" t="s">
        <v>93</v>
      </c>
      <c r="M359" s="8" t="n">
        <f aca="false">IF(H359&lt;E359,(E359-H359)/H359,IF(H359&gt;F359,(F359-H359)/H359,0))</f>
        <v>0.0144927536231884</v>
      </c>
      <c r="N359" s="9" t="s">
        <v>34</v>
      </c>
      <c r="O359" s="9" t="s">
        <v>34</v>
      </c>
    </row>
    <row r="360" customFormat="false" ht="15" hidden="false" customHeight="false" outlineLevel="0" collapsed="false">
      <c r="A360" s="6" t="s">
        <v>524</v>
      </c>
      <c r="B360" s="6" t="s">
        <v>364</v>
      </c>
      <c r="C360" s="6" t="s">
        <v>525</v>
      </c>
      <c r="D360" s="6" t="s">
        <v>30</v>
      </c>
      <c r="E360" s="7" t="n">
        <v>7.5</v>
      </c>
      <c r="F360" s="7" t="n">
        <v>7.5</v>
      </c>
      <c r="G360" s="6" t="s">
        <v>31</v>
      </c>
      <c r="H360" s="7" t="n">
        <v>6.85</v>
      </c>
      <c r="I360" s="7"/>
      <c r="J360" s="7"/>
      <c r="K360" s="6" t="s">
        <v>32</v>
      </c>
      <c r="L360" s="6" t="s">
        <v>93</v>
      </c>
      <c r="M360" s="8" t="n">
        <f aca="false">IF(H360&lt;E360,(E360-H360)/H360,IF(H360&gt;F360,(F360-H360)/H360,0))</f>
        <v>0.0948905109489052</v>
      </c>
      <c r="N360" s="9" t="s">
        <v>34</v>
      </c>
      <c r="O360" s="9" t="s">
        <v>34</v>
      </c>
    </row>
    <row r="361" customFormat="false" ht="15" hidden="false" customHeight="false" outlineLevel="0" collapsed="false">
      <c r="A361" s="6" t="s">
        <v>524</v>
      </c>
      <c r="B361" s="6" t="s">
        <v>364</v>
      </c>
      <c r="C361" s="6" t="s">
        <v>525</v>
      </c>
      <c r="D361" s="6" t="s">
        <v>30</v>
      </c>
      <c r="E361" s="7" t="n">
        <v>7.5</v>
      </c>
      <c r="F361" s="7" t="n">
        <v>7.5</v>
      </c>
      <c r="G361" s="6" t="s">
        <v>147</v>
      </c>
      <c r="H361" s="7" t="n">
        <v>6.3</v>
      </c>
      <c r="I361" s="7"/>
      <c r="J361" s="7"/>
      <c r="K361" s="6" t="s">
        <v>32</v>
      </c>
      <c r="L361" s="6" t="s">
        <v>93</v>
      </c>
      <c r="M361" s="8" t="n">
        <f aca="false">IF(H361&lt;E361,(E361-H361)/H361,IF(H361&gt;F361,(F361-H361)/H361,0))</f>
        <v>0.190476190476191</v>
      </c>
      <c r="N361" s="9" t="s">
        <v>34</v>
      </c>
      <c r="O361" s="9" t="s">
        <v>34</v>
      </c>
    </row>
    <row r="362" customFormat="false" ht="15" hidden="false" customHeight="false" outlineLevel="0" collapsed="false">
      <c r="A362" s="6" t="s">
        <v>524</v>
      </c>
      <c r="B362" s="6" t="s">
        <v>364</v>
      </c>
      <c r="C362" s="6" t="s">
        <v>525</v>
      </c>
      <c r="D362" s="6" t="s">
        <v>30</v>
      </c>
      <c r="E362" s="7" t="n">
        <v>7.5</v>
      </c>
      <c r="F362" s="7" t="n">
        <v>7.5</v>
      </c>
      <c r="G362" s="6" t="s">
        <v>226</v>
      </c>
      <c r="H362" s="7" t="n">
        <v>7.19</v>
      </c>
      <c r="I362" s="7"/>
      <c r="J362" s="7"/>
      <c r="K362" s="6" t="s">
        <v>40</v>
      </c>
      <c r="L362" s="6" t="s">
        <v>45</v>
      </c>
      <c r="M362" s="8" t="n">
        <f aca="false">IF(H362&lt;E362,(E362-H362)/H362,IF(H362&gt;F362,(F362-H362)/H362,0))</f>
        <v>0.043115438108484</v>
      </c>
      <c r="N362" s="9" t="s">
        <v>34</v>
      </c>
      <c r="O362" s="9" t="s">
        <v>34</v>
      </c>
    </row>
    <row r="363" customFormat="false" ht="15" hidden="false" customHeight="false" outlineLevel="0" collapsed="false">
      <c r="A363" s="6" t="s">
        <v>526</v>
      </c>
      <c r="B363" s="6" t="s">
        <v>364</v>
      </c>
      <c r="C363" s="6" t="s">
        <v>527</v>
      </c>
      <c r="D363" s="6" t="s">
        <v>30</v>
      </c>
      <c r="E363" s="7" t="n">
        <v>7.99</v>
      </c>
      <c r="F363" s="7" t="n">
        <v>7.99</v>
      </c>
      <c r="G363" s="6" t="s">
        <v>31</v>
      </c>
      <c r="H363" s="7" t="n">
        <v>6.85</v>
      </c>
      <c r="I363" s="7"/>
      <c r="J363" s="7"/>
      <c r="K363" s="6" t="s">
        <v>32</v>
      </c>
      <c r="L363" s="6" t="s">
        <v>93</v>
      </c>
      <c r="M363" s="8" t="n">
        <f aca="false">IF(H363&lt;E363,(E363-H363)/H363,IF(H363&gt;F363,(F363-H363)/H363,0))</f>
        <v>0.166423357664234</v>
      </c>
      <c r="N363" s="9" t="s">
        <v>34</v>
      </c>
      <c r="O363" s="9" t="s">
        <v>34</v>
      </c>
    </row>
    <row r="364" customFormat="false" ht="15" hidden="false" customHeight="false" outlineLevel="0" collapsed="false">
      <c r="A364" s="6" t="s">
        <v>526</v>
      </c>
      <c r="B364" s="6" t="s">
        <v>364</v>
      </c>
      <c r="C364" s="6" t="s">
        <v>527</v>
      </c>
      <c r="D364" s="6" t="s">
        <v>30</v>
      </c>
      <c r="E364" s="7" t="n">
        <v>7.99</v>
      </c>
      <c r="F364" s="7" t="n">
        <v>7.99</v>
      </c>
      <c r="G364" s="6" t="s">
        <v>147</v>
      </c>
      <c r="H364" s="7" t="n">
        <v>6.3</v>
      </c>
      <c r="I364" s="7"/>
      <c r="J364" s="7"/>
      <c r="K364" s="6" t="s">
        <v>32</v>
      </c>
      <c r="L364" s="6" t="s">
        <v>93</v>
      </c>
      <c r="M364" s="8" t="n">
        <f aca="false">IF(H364&lt;E364,(E364-H364)/H364,IF(H364&gt;F364,(F364-H364)/H364,0))</f>
        <v>0.268253968253968</v>
      </c>
      <c r="N364" s="9" t="s">
        <v>34</v>
      </c>
      <c r="O364" s="9" t="s">
        <v>34</v>
      </c>
    </row>
    <row r="365" customFormat="false" ht="15" hidden="false" customHeight="false" outlineLevel="0" collapsed="false">
      <c r="A365" s="6" t="s">
        <v>526</v>
      </c>
      <c r="B365" s="6" t="s">
        <v>364</v>
      </c>
      <c r="C365" s="6" t="s">
        <v>527</v>
      </c>
      <c r="D365" s="6" t="s">
        <v>30</v>
      </c>
      <c r="E365" s="7" t="n">
        <v>7.99</v>
      </c>
      <c r="F365" s="7" t="n">
        <v>7.99</v>
      </c>
      <c r="G365" s="6" t="s">
        <v>226</v>
      </c>
      <c r="H365" s="7" t="n">
        <v>5.1</v>
      </c>
      <c r="I365" s="7"/>
      <c r="J365" s="7"/>
      <c r="K365" s="6" t="s">
        <v>40</v>
      </c>
      <c r="L365" s="6" t="s">
        <v>45</v>
      </c>
      <c r="M365" s="8" t="n">
        <f aca="false">IF(H365&lt;E365,(E365-H365)/H365,IF(H365&gt;F365,(F365-H365)/H365,0))</f>
        <v>0.566666666666667</v>
      </c>
      <c r="N365" s="9" t="s">
        <v>34</v>
      </c>
      <c r="O365" s="9" t="s">
        <v>34</v>
      </c>
    </row>
    <row r="366" customFormat="false" ht="15" hidden="false" customHeight="false" outlineLevel="0" collapsed="false">
      <c r="A366" s="6" t="s">
        <v>528</v>
      </c>
      <c r="B366" s="6" t="s">
        <v>364</v>
      </c>
      <c r="C366" s="6" t="s">
        <v>529</v>
      </c>
      <c r="D366" s="6" t="s">
        <v>30</v>
      </c>
      <c r="E366" s="7" t="n">
        <v>7.99</v>
      </c>
      <c r="F366" s="7" t="n">
        <v>7.99</v>
      </c>
      <c r="G366" s="6" t="s">
        <v>31</v>
      </c>
      <c r="H366" s="7" t="n">
        <v>6.85</v>
      </c>
      <c r="I366" s="7"/>
      <c r="J366" s="7"/>
      <c r="K366" s="6" t="s">
        <v>32</v>
      </c>
      <c r="L366" s="6" t="s">
        <v>93</v>
      </c>
      <c r="M366" s="8" t="n">
        <f aca="false">IF(H366&lt;E366,(E366-H366)/H366,IF(H366&gt;F366,(F366-H366)/H366,0))</f>
        <v>0.166423357664234</v>
      </c>
      <c r="N366" s="9" t="s">
        <v>34</v>
      </c>
      <c r="O366" s="9" t="s">
        <v>34</v>
      </c>
    </row>
    <row r="367" customFormat="false" ht="15" hidden="false" customHeight="false" outlineLevel="0" collapsed="false">
      <c r="A367" s="6" t="s">
        <v>528</v>
      </c>
      <c r="B367" s="6" t="s">
        <v>364</v>
      </c>
      <c r="C367" s="6" t="s">
        <v>529</v>
      </c>
      <c r="D367" s="6" t="s">
        <v>30</v>
      </c>
      <c r="E367" s="7" t="n">
        <v>7.99</v>
      </c>
      <c r="F367" s="7" t="n">
        <v>7.99</v>
      </c>
      <c r="G367" s="6" t="s">
        <v>147</v>
      </c>
      <c r="H367" s="7" t="n">
        <v>6.3</v>
      </c>
      <c r="I367" s="7"/>
      <c r="J367" s="7"/>
      <c r="K367" s="6" t="s">
        <v>32</v>
      </c>
      <c r="L367" s="6" t="s">
        <v>93</v>
      </c>
      <c r="M367" s="8" t="n">
        <f aca="false">IF(H367&lt;E367,(E367-H367)/H367,IF(H367&gt;F367,(F367-H367)/H367,0))</f>
        <v>0.268253968253968</v>
      </c>
      <c r="N367" s="9" t="s">
        <v>34</v>
      </c>
      <c r="O367" s="9" t="s">
        <v>34</v>
      </c>
    </row>
    <row r="368" customFormat="false" ht="15" hidden="false" customHeight="false" outlineLevel="0" collapsed="false">
      <c r="A368" s="6" t="s">
        <v>528</v>
      </c>
      <c r="B368" s="6" t="s">
        <v>364</v>
      </c>
      <c r="C368" s="6" t="s">
        <v>529</v>
      </c>
      <c r="D368" s="6" t="s">
        <v>30</v>
      </c>
      <c r="E368" s="7" t="n">
        <v>7.99</v>
      </c>
      <c r="F368" s="7" t="n">
        <v>7.99</v>
      </c>
      <c r="G368" s="6" t="s">
        <v>226</v>
      </c>
      <c r="H368" s="7" t="n">
        <v>5.1</v>
      </c>
      <c r="I368" s="7"/>
      <c r="J368" s="7"/>
      <c r="K368" s="6" t="s">
        <v>40</v>
      </c>
      <c r="L368" s="6" t="s">
        <v>93</v>
      </c>
      <c r="M368" s="8" t="n">
        <f aca="false">IF(H368&lt;E368,(E368-H368)/H368,IF(H368&gt;F368,(F368-H368)/H368,0))</f>
        <v>0.566666666666667</v>
      </c>
      <c r="N368" s="9" t="s">
        <v>34</v>
      </c>
      <c r="O368" s="9" t="s">
        <v>34</v>
      </c>
    </row>
    <row r="369" customFormat="false" ht="15" hidden="false" customHeight="false" outlineLevel="0" collapsed="false">
      <c r="A369" s="6" t="s">
        <v>530</v>
      </c>
      <c r="B369" s="6" t="s">
        <v>364</v>
      </c>
      <c r="C369" s="6" t="s">
        <v>531</v>
      </c>
      <c r="D369" s="6" t="s">
        <v>342</v>
      </c>
      <c r="E369" s="7" t="n">
        <v>11.35</v>
      </c>
      <c r="F369" s="7" t="n">
        <v>11.35</v>
      </c>
      <c r="G369" s="6" t="s">
        <v>31</v>
      </c>
      <c r="H369" s="7" t="n">
        <v>11.1</v>
      </c>
      <c r="I369" s="7"/>
      <c r="J369" s="7"/>
      <c r="K369" s="6" t="s">
        <v>32</v>
      </c>
      <c r="L369" s="6" t="s">
        <v>33</v>
      </c>
      <c r="M369" s="8" t="n">
        <f aca="false">IF(H369&lt;E369,(E369-H369)/H369,IF(H369&gt;F369,(F369-H369)/H369,0))</f>
        <v>0.0225225225225225</v>
      </c>
      <c r="N369" s="9" t="s">
        <v>34</v>
      </c>
      <c r="O369" s="9" t="s">
        <v>34</v>
      </c>
    </row>
    <row r="370" customFormat="false" ht="15" hidden="false" customHeight="false" outlineLevel="0" collapsed="false">
      <c r="A370" s="6" t="s">
        <v>530</v>
      </c>
      <c r="B370" s="6" t="s">
        <v>364</v>
      </c>
      <c r="C370" s="6" t="s">
        <v>531</v>
      </c>
      <c r="D370" s="6" t="s">
        <v>342</v>
      </c>
      <c r="E370" s="7" t="n">
        <v>11.35</v>
      </c>
      <c r="F370" s="7" t="n">
        <v>11.35</v>
      </c>
      <c r="G370" s="6" t="s">
        <v>39</v>
      </c>
      <c r="H370" s="7" t="n">
        <v>13.25</v>
      </c>
      <c r="I370" s="7"/>
      <c r="J370" s="7"/>
      <c r="K370" s="6" t="s">
        <v>32</v>
      </c>
      <c r="L370" s="6" t="s">
        <v>33</v>
      </c>
      <c r="M370" s="8" t="n">
        <f aca="false">IF(H370&lt;E370,(E370-H370)/H370,IF(H370&gt;F370,(F370-H370)/H370,0))</f>
        <v>-0.143396226415094</v>
      </c>
      <c r="N370" s="9" t="s">
        <v>34</v>
      </c>
      <c r="O370" s="9" t="s">
        <v>34</v>
      </c>
    </row>
    <row r="371" customFormat="false" ht="15" hidden="false" customHeight="false" outlineLevel="0" collapsed="false">
      <c r="A371" s="6" t="s">
        <v>530</v>
      </c>
      <c r="B371" s="6" t="s">
        <v>364</v>
      </c>
      <c r="C371" s="6" t="s">
        <v>531</v>
      </c>
      <c r="D371" s="6" t="s">
        <v>342</v>
      </c>
      <c r="E371" s="7" t="n">
        <v>11.35</v>
      </c>
      <c r="F371" s="7" t="n">
        <v>11.35</v>
      </c>
      <c r="G371" s="6" t="s">
        <v>226</v>
      </c>
      <c r="H371" s="7" t="n">
        <v>11.18</v>
      </c>
      <c r="I371" s="7"/>
      <c r="J371" s="7"/>
      <c r="K371" s="6" t="s">
        <v>40</v>
      </c>
      <c r="L371" s="6" t="s">
        <v>33</v>
      </c>
      <c r="M371" s="8" t="n">
        <f aca="false">IF(H371&lt;E371,(E371-H371)/H371,IF(H371&gt;F371,(F371-H371)/H371,0))</f>
        <v>0.0152057245080501</v>
      </c>
      <c r="N371" s="9" t="s">
        <v>34</v>
      </c>
      <c r="O371" s="9" t="s">
        <v>34</v>
      </c>
    </row>
    <row r="372" customFormat="false" ht="15" hidden="false" customHeight="false" outlineLevel="0" collapsed="false">
      <c r="A372" s="6" t="s">
        <v>532</v>
      </c>
      <c r="B372" s="6" t="s">
        <v>364</v>
      </c>
      <c r="C372" s="6" t="s">
        <v>533</v>
      </c>
      <c r="D372" s="6" t="s">
        <v>342</v>
      </c>
      <c r="E372" s="7" t="n">
        <v>13.21</v>
      </c>
      <c r="F372" s="7" t="n">
        <v>13.21</v>
      </c>
      <c r="G372" s="6" t="s">
        <v>31</v>
      </c>
      <c r="H372" s="7" t="n">
        <v>12.99</v>
      </c>
      <c r="I372" s="7"/>
      <c r="J372" s="7"/>
      <c r="K372" s="6" t="s">
        <v>40</v>
      </c>
      <c r="L372" s="6" t="s">
        <v>33</v>
      </c>
      <c r="M372" s="8" t="n">
        <f aca="false">IF(H372&lt;E372,(E372-H372)/H372,IF(H372&gt;F372,(F372-H372)/H372,0))</f>
        <v>0.01693610469592</v>
      </c>
      <c r="N372" s="9" t="s">
        <v>34</v>
      </c>
      <c r="O372" s="9" t="s">
        <v>34</v>
      </c>
    </row>
    <row r="373" customFormat="false" ht="15" hidden="false" customHeight="false" outlineLevel="0" collapsed="false">
      <c r="A373" s="6" t="s">
        <v>534</v>
      </c>
      <c r="B373" s="6" t="s">
        <v>364</v>
      </c>
      <c r="C373" s="6" t="s">
        <v>535</v>
      </c>
      <c r="D373" s="6" t="s">
        <v>536</v>
      </c>
      <c r="E373" s="7" t="n">
        <v>9.4</v>
      </c>
      <c r="F373" s="7" t="n">
        <v>9.4</v>
      </c>
      <c r="G373" s="6" t="s">
        <v>31</v>
      </c>
      <c r="H373" s="7" t="n">
        <v>6.79</v>
      </c>
      <c r="I373" s="7"/>
      <c r="J373" s="7"/>
      <c r="K373" s="6" t="s">
        <v>32</v>
      </c>
      <c r="L373" s="6" t="s">
        <v>93</v>
      </c>
      <c r="M373" s="8" t="n">
        <f aca="false">IF(H373&lt;E373,(E373-H373)/H373,IF(H373&gt;F373,(F373-H373)/H373,0))</f>
        <v>0.384388807069219</v>
      </c>
      <c r="N373" s="9" t="s">
        <v>34</v>
      </c>
      <c r="O373" s="9" t="s">
        <v>34</v>
      </c>
    </row>
    <row r="374" customFormat="false" ht="15" hidden="false" customHeight="false" outlineLevel="0" collapsed="false">
      <c r="A374" s="6" t="s">
        <v>534</v>
      </c>
      <c r="B374" s="6" t="s">
        <v>364</v>
      </c>
      <c r="C374" s="6" t="s">
        <v>535</v>
      </c>
      <c r="D374" s="6" t="s">
        <v>536</v>
      </c>
      <c r="E374" s="7" t="n">
        <v>9.4</v>
      </c>
      <c r="F374" s="7" t="n">
        <v>9.4</v>
      </c>
      <c r="G374" s="6" t="s">
        <v>147</v>
      </c>
      <c r="H374" s="7" t="n">
        <v>6.95</v>
      </c>
      <c r="I374" s="7"/>
      <c r="J374" s="7"/>
      <c r="K374" s="6" t="s">
        <v>32</v>
      </c>
      <c r="L374" s="6" t="s">
        <v>93</v>
      </c>
      <c r="M374" s="8" t="n">
        <f aca="false">IF(H374&lt;E374,(E374-H374)/H374,IF(H374&gt;F374,(F374-H374)/H374,0))</f>
        <v>0.352517985611511</v>
      </c>
      <c r="N374" s="9" t="s">
        <v>34</v>
      </c>
      <c r="O374" s="9" t="s">
        <v>34</v>
      </c>
    </row>
    <row r="375" customFormat="false" ht="15" hidden="false" customHeight="false" outlineLevel="0" collapsed="false">
      <c r="A375" s="6" t="s">
        <v>534</v>
      </c>
      <c r="B375" s="6" t="s">
        <v>364</v>
      </c>
      <c r="C375" s="6" t="s">
        <v>535</v>
      </c>
      <c r="D375" s="6" t="s">
        <v>536</v>
      </c>
      <c r="E375" s="7" t="n">
        <v>9.4</v>
      </c>
      <c r="F375" s="7" t="n">
        <v>9.4</v>
      </c>
      <c r="G375" s="6" t="s">
        <v>39</v>
      </c>
      <c r="H375" s="7" t="n">
        <v>11.35</v>
      </c>
      <c r="I375" s="7"/>
      <c r="J375" s="7"/>
      <c r="K375" s="6" t="s">
        <v>32</v>
      </c>
      <c r="L375" s="6" t="s">
        <v>45</v>
      </c>
      <c r="M375" s="8" t="n">
        <f aca="false">IF(H375&lt;E375,(E375-H375)/H375,IF(H375&gt;F375,(F375-H375)/H375,0))</f>
        <v>-0.171806167400881</v>
      </c>
      <c r="N375" s="9" t="s">
        <v>34</v>
      </c>
      <c r="O375" s="9" t="s">
        <v>34</v>
      </c>
    </row>
    <row r="376" customFormat="false" ht="15" hidden="false" customHeight="false" outlineLevel="0" collapsed="false">
      <c r="A376" s="6" t="s">
        <v>534</v>
      </c>
      <c r="B376" s="6" t="s">
        <v>364</v>
      </c>
      <c r="C376" s="6" t="s">
        <v>535</v>
      </c>
      <c r="D376" s="6" t="s">
        <v>536</v>
      </c>
      <c r="E376" s="7" t="n">
        <v>9.4</v>
      </c>
      <c r="F376" s="7" t="n">
        <v>9.4</v>
      </c>
      <c r="G376" s="6" t="s">
        <v>226</v>
      </c>
      <c r="H376" s="7" t="n">
        <v>5.93</v>
      </c>
      <c r="I376" s="7"/>
      <c r="J376" s="7"/>
      <c r="K376" s="6" t="s">
        <v>40</v>
      </c>
      <c r="L376" s="6" t="s">
        <v>93</v>
      </c>
      <c r="M376" s="8" t="n">
        <f aca="false">IF(H376&lt;E376,(E376-H376)/H376,IF(H376&gt;F376,(F376-H376)/H376,0))</f>
        <v>0.585160202360877</v>
      </c>
      <c r="N376" s="9" t="s">
        <v>34</v>
      </c>
      <c r="O376" s="9" t="s">
        <v>34</v>
      </c>
    </row>
    <row r="377" customFormat="false" ht="15" hidden="false" customHeight="false" outlineLevel="0" collapsed="false">
      <c r="A377" s="6" t="s">
        <v>537</v>
      </c>
      <c r="B377" s="6" t="s">
        <v>364</v>
      </c>
      <c r="C377" s="6" t="s">
        <v>538</v>
      </c>
      <c r="D377" s="6" t="s">
        <v>479</v>
      </c>
      <c r="E377" s="7" t="n">
        <v>12.3</v>
      </c>
      <c r="F377" s="7" t="n">
        <v>12.3</v>
      </c>
      <c r="G377" s="6" t="s">
        <v>31</v>
      </c>
      <c r="H377" s="7" t="n">
        <v>6.79</v>
      </c>
      <c r="I377" s="7"/>
      <c r="J377" s="7"/>
      <c r="K377" s="6" t="s">
        <v>32</v>
      </c>
      <c r="L377" s="6" t="s">
        <v>93</v>
      </c>
      <c r="M377" s="8" t="n">
        <f aca="false">IF(H377&lt;E377,(E377-H377)/H377,IF(H377&gt;F377,(F377-H377)/H377,0))</f>
        <v>0.811487481590575</v>
      </c>
      <c r="N377" s="9" t="s">
        <v>34</v>
      </c>
      <c r="O377" s="9" t="s">
        <v>34</v>
      </c>
    </row>
    <row r="378" customFormat="false" ht="15" hidden="false" customHeight="false" outlineLevel="0" collapsed="false">
      <c r="A378" s="6" t="s">
        <v>537</v>
      </c>
      <c r="B378" s="6" t="s">
        <v>364</v>
      </c>
      <c r="C378" s="6" t="s">
        <v>538</v>
      </c>
      <c r="D378" s="6" t="s">
        <v>479</v>
      </c>
      <c r="E378" s="7" t="n">
        <v>12.3</v>
      </c>
      <c r="F378" s="7" t="n">
        <v>12.3</v>
      </c>
      <c r="G378" s="6" t="s">
        <v>147</v>
      </c>
      <c r="H378" s="7" t="n">
        <v>6.95</v>
      </c>
      <c r="I378" s="7"/>
      <c r="J378" s="7"/>
      <c r="K378" s="6" t="s">
        <v>32</v>
      </c>
      <c r="L378" s="6" t="s">
        <v>93</v>
      </c>
      <c r="M378" s="8" t="n">
        <f aca="false">IF(H378&lt;E378,(E378-H378)/H378,IF(H378&gt;F378,(F378-H378)/H378,0))</f>
        <v>0.769784172661871</v>
      </c>
      <c r="N378" s="9" t="s">
        <v>34</v>
      </c>
      <c r="O378" s="9" t="s">
        <v>34</v>
      </c>
    </row>
    <row r="379" customFormat="false" ht="15" hidden="false" customHeight="false" outlineLevel="0" collapsed="false">
      <c r="A379" s="6" t="s">
        <v>537</v>
      </c>
      <c r="B379" s="6" t="s">
        <v>364</v>
      </c>
      <c r="C379" s="6" t="s">
        <v>538</v>
      </c>
      <c r="D379" s="6" t="s">
        <v>479</v>
      </c>
      <c r="E379" s="7" t="n">
        <v>12.3</v>
      </c>
      <c r="F379" s="7" t="n">
        <v>12.3</v>
      </c>
      <c r="G379" s="6" t="s">
        <v>39</v>
      </c>
      <c r="H379" s="7" t="n">
        <v>11.35</v>
      </c>
      <c r="I379" s="7"/>
      <c r="J379" s="7"/>
      <c r="K379" s="6" t="s">
        <v>40</v>
      </c>
      <c r="L379" s="6" t="s">
        <v>45</v>
      </c>
      <c r="M379" s="8" t="n">
        <f aca="false">IF(H379&lt;E379,(E379-H379)/H379,IF(H379&gt;F379,(F379-H379)/H379,0))</f>
        <v>0.0837004405286345</v>
      </c>
      <c r="N379" s="9" t="s">
        <v>34</v>
      </c>
      <c r="O379" s="9" t="s">
        <v>34</v>
      </c>
    </row>
    <row r="380" customFormat="false" ht="15" hidden="false" customHeight="false" outlineLevel="0" collapsed="false">
      <c r="A380" s="6" t="s">
        <v>537</v>
      </c>
      <c r="B380" s="6" t="s">
        <v>364</v>
      </c>
      <c r="C380" s="6" t="s">
        <v>538</v>
      </c>
      <c r="D380" s="6" t="s">
        <v>479</v>
      </c>
      <c r="E380" s="7" t="n">
        <v>12.3</v>
      </c>
      <c r="F380" s="7" t="n">
        <v>12.3</v>
      </c>
      <c r="G380" s="6" t="s">
        <v>226</v>
      </c>
      <c r="H380" s="7" t="n">
        <v>5.93</v>
      </c>
      <c r="I380" s="7"/>
      <c r="J380" s="7"/>
      <c r="K380" s="6" t="s">
        <v>40</v>
      </c>
      <c r="L380" s="6" t="s">
        <v>93</v>
      </c>
      <c r="M380" s="8" t="n">
        <f aca="false">IF(H380&lt;E380,(E380-H380)/H380,IF(H380&gt;F380,(F380-H380)/H380,0))</f>
        <v>1.07419898819562</v>
      </c>
      <c r="N380" s="9" t="s">
        <v>34</v>
      </c>
      <c r="O380" s="9" t="s">
        <v>34</v>
      </c>
    </row>
    <row r="381" customFormat="false" ht="15" hidden="false" customHeight="false" outlineLevel="0" collapsed="false">
      <c r="A381" s="6" t="s">
        <v>539</v>
      </c>
      <c r="B381" s="6" t="s">
        <v>364</v>
      </c>
      <c r="C381" s="6" t="s">
        <v>540</v>
      </c>
      <c r="D381" s="6" t="s">
        <v>69</v>
      </c>
      <c r="E381" s="7" t="n">
        <v>14.95</v>
      </c>
      <c r="F381" s="7" t="n">
        <v>14.95</v>
      </c>
      <c r="G381" s="6" t="s">
        <v>31</v>
      </c>
      <c r="H381" s="7" t="n">
        <v>6.79</v>
      </c>
      <c r="I381" s="7"/>
      <c r="J381" s="7"/>
      <c r="K381" s="6" t="s">
        <v>32</v>
      </c>
      <c r="L381" s="6" t="s">
        <v>93</v>
      </c>
      <c r="M381" s="8" t="n">
        <f aca="false">IF(H381&lt;E381,(E381-H381)/H381,IF(H381&gt;F381,(F381-H381)/H381,0))</f>
        <v>1.20176730486009</v>
      </c>
      <c r="N381" s="9" t="s">
        <v>34</v>
      </c>
      <c r="O381" s="9" t="s">
        <v>34</v>
      </c>
    </row>
    <row r="382" customFormat="false" ht="15" hidden="false" customHeight="false" outlineLevel="0" collapsed="false">
      <c r="A382" s="6" t="s">
        <v>539</v>
      </c>
      <c r="B382" s="6" t="s">
        <v>364</v>
      </c>
      <c r="C382" s="6" t="s">
        <v>540</v>
      </c>
      <c r="D382" s="6" t="s">
        <v>69</v>
      </c>
      <c r="E382" s="7" t="n">
        <v>14.95</v>
      </c>
      <c r="F382" s="7" t="n">
        <v>14.95</v>
      </c>
      <c r="G382" s="6" t="s">
        <v>147</v>
      </c>
      <c r="H382" s="7" t="n">
        <v>6.95</v>
      </c>
      <c r="I382" s="7"/>
      <c r="J382" s="7"/>
      <c r="K382" s="6" t="s">
        <v>32</v>
      </c>
      <c r="L382" s="6" t="s">
        <v>93</v>
      </c>
      <c r="M382" s="8" t="n">
        <f aca="false">IF(H382&lt;E382,(E382-H382)/H382,IF(H382&gt;F382,(F382-H382)/H382,0))</f>
        <v>1.15107913669065</v>
      </c>
      <c r="N382" s="9" t="s">
        <v>34</v>
      </c>
      <c r="O382" s="9" t="s">
        <v>34</v>
      </c>
    </row>
    <row r="383" customFormat="false" ht="15" hidden="false" customHeight="false" outlineLevel="0" collapsed="false">
      <c r="A383" s="6" t="s">
        <v>539</v>
      </c>
      <c r="B383" s="6" t="s">
        <v>364</v>
      </c>
      <c r="C383" s="6" t="s">
        <v>540</v>
      </c>
      <c r="D383" s="6" t="s">
        <v>69</v>
      </c>
      <c r="E383" s="7" t="n">
        <v>14.95</v>
      </c>
      <c r="F383" s="7" t="n">
        <v>14.95</v>
      </c>
      <c r="G383" s="6" t="s">
        <v>39</v>
      </c>
      <c r="H383" s="7" t="n">
        <v>14.2</v>
      </c>
      <c r="I383" s="7"/>
      <c r="J383" s="7"/>
      <c r="K383" s="6" t="s">
        <v>32</v>
      </c>
      <c r="L383" s="6" t="s">
        <v>45</v>
      </c>
      <c r="M383" s="8" t="n">
        <f aca="false">IF(H383&lt;E383,(E383-H383)/H383,IF(H383&gt;F383,(F383-H383)/H383,0))</f>
        <v>0.0528169014084507</v>
      </c>
      <c r="N383" s="9" t="s">
        <v>34</v>
      </c>
      <c r="O383" s="9" t="s">
        <v>34</v>
      </c>
    </row>
    <row r="384" customFormat="false" ht="15" hidden="false" customHeight="false" outlineLevel="0" collapsed="false">
      <c r="A384" s="6" t="s">
        <v>539</v>
      </c>
      <c r="B384" s="6" t="s">
        <v>364</v>
      </c>
      <c r="C384" s="6" t="s">
        <v>540</v>
      </c>
      <c r="D384" s="6" t="s">
        <v>69</v>
      </c>
      <c r="E384" s="7" t="n">
        <v>14.95</v>
      </c>
      <c r="F384" s="7" t="n">
        <v>14.95</v>
      </c>
      <c r="G384" s="6" t="s">
        <v>226</v>
      </c>
      <c r="H384" s="7" t="n">
        <v>5.93</v>
      </c>
      <c r="I384" s="7"/>
      <c r="J384" s="7"/>
      <c r="K384" s="6" t="s">
        <v>40</v>
      </c>
      <c r="L384" s="6" t="s">
        <v>93</v>
      </c>
      <c r="M384" s="8" t="n">
        <f aca="false">IF(H384&lt;E384,(E384-H384)/H384,IF(H384&gt;F384,(F384-H384)/H384,0))</f>
        <v>1.52107925801012</v>
      </c>
      <c r="N384" s="9" t="s">
        <v>34</v>
      </c>
      <c r="O384" s="9" t="s">
        <v>34</v>
      </c>
    </row>
    <row r="385" customFormat="false" ht="15" hidden="false" customHeight="false" outlineLevel="0" collapsed="false">
      <c r="A385" s="6" t="s">
        <v>541</v>
      </c>
      <c r="B385" s="6" t="s">
        <v>364</v>
      </c>
      <c r="C385" s="6" t="s">
        <v>542</v>
      </c>
      <c r="D385" s="6" t="s">
        <v>69</v>
      </c>
      <c r="E385" s="7" t="n">
        <v>16.1</v>
      </c>
      <c r="F385" s="7" t="n">
        <v>16.1</v>
      </c>
      <c r="G385" s="6" t="s">
        <v>31</v>
      </c>
      <c r="H385" s="7" t="n">
        <v>6.79</v>
      </c>
      <c r="I385" s="7"/>
      <c r="J385" s="7"/>
      <c r="K385" s="6" t="s">
        <v>32</v>
      </c>
      <c r="L385" s="6" t="s">
        <v>93</v>
      </c>
      <c r="M385" s="8" t="n">
        <f aca="false">IF(H385&lt;E385,(E385-H385)/H385,IF(H385&gt;F385,(F385-H385)/H385,0))</f>
        <v>1.37113402061856</v>
      </c>
      <c r="N385" s="9" t="s">
        <v>34</v>
      </c>
      <c r="O385" s="9" t="s">
        <v>34</v>
      </c>
    </row>
    <row r="386" customFormat="false" ht="15" hidden="false" customHeight="false" outlineLevel="0" collapsed="false">
      <c r="A386" s="6" t="s">
        <v>541</v>
      </c>
      <c r="B386" s="6" t="s">
        <v>364</v>
      </c>
      <c r="C386" s="6" t="s">
        <v>542</v>
      </c>
      <c r="D386" s="6" t="s">
        <v>69</v>
      </c>
      <c r="E386" s="7" t="n">
        <v>16.1</v>
      </c>
      <c r="F386" s="7" t="n">
        <v>16.1</v>
      </c>
      <c r="G386" s="6" t="s">
        <v>147</v>
      </c>
      <c r="H386" s="7" t="n">
        <v>6.95</v>
      </c>
      <c r="I386" s="7"/>
      <c r="J386" s="7"/>
      <c r="K386" s="6" t="s">
        <v>32</v>
      </c>
      <c r="L386" s="6" t="s">
        <v>93</v>
      </c>
      <c r="M386" s="8" t="n">
        <f aca="false">IF(H386&lt;E386,(E386-H386)/H386,IF(H386&gt;F386,(F386-H386)/H386,0))</f>
        <v>1.31654676258993</v>
      </c>
      <c r="N386" s="9" t="s">
        <v>34</v>
      </c>
      <c r="O386" s="9" t="s">
        <v>34</v>
      </c>
    </row>
    <row r="387" customFormat="false" ht="15" hidden="false" customHeight="false" outlineLevel="0" collapsed="false">
      <c r="A387" s="6" t="s">
        <v>541</v>
      </c>
      <c r="B387" s="6" t="s">
        <v>364</v>
      </c>
      <c r="C387" s="6" t="s">
        <v>542</v>
      </c>
      <c r="D387" s="6" t="s">
        <v>69</v>
      </c>
      <c r="E387" s="7" t="n">
        <v>16.1</v>
      </c>
      <c r="F387" s="7" t="n">
        <v>16.1</v>
      </c>
      <c r="G387" s="6" t="s">
        <v>39</v>
      </c>
      <c r="H387" s="7" t="n">
        <v>4.8</v>
      </c>
      <c r="I387" s="7"/>
      <c r="J387" s="7"/>
      <c r="K387" s="6" t="s">
        <v>40</v>
      </c>
      <c r="L387" s="6" t="s">
        <v>93</v>
      </c>
      <c r="M387" s="8" t="n">
        <f aca="false">IF(H387&lt;E387,(E387-H387)/H387,IF(H387&gt;F387,(F387-H387)/H387,0))</f>
        <v>2.35416666666667</v>
      </c>
      <c r="N387" s="9" t="s">
        <v>34</v>
      </c>
      <c r="O387" s="9" t="s">
        <v>34</v>
      </c>
    </row>
    <row r="388" customFormat="false" ht="15" hidden="false" customHeight="false" outlineLevel="0" collapsed="false">
      <c r="A388" s="6" t="s">
        <v>541</v>
      </c>
      <c r="B388" s="6" t="s">
        <v>364</v>
      </c>
      <c r="C388" s="6" t="s">
        <v>542</v>
      </c>
      <c r="D388" s="6" t="s">
        <v>69</v>
      </c>
      <c r="E388" s="7" t="n">
        <v>16.1</v>
      </c>
      <c r="F388" s="7" t="n">
        <v>16.1</v>
      </c>
      <c r="G388" s="6" t="s">
        <v>226</v>
      </c>
      <c r="H388" s="7" t="n">
        <v>5.93</v>
      </c>
      <c r="I388" s="7"/>
      <c r="J388" s="7"/>
      <c r="K388" s="6" t="s">
        <v>40</v>
      </c>
      <c r="L388" s="6" t="s">
        <v>93</v>
      </c>
      <c r="M388" s="8" t="n">
        <f aca="false">IF(H388&lt;E388,(E388-H388)/H388,IF(H388&gt;F388,(F388-H388)/H388,0))</f>
        <v>1.7150084317032</v>
      </c>
      <c r="N388" s="9" t="s">
        <v>34</v>
      </c>
      <c r="O388" s="9" t="s">
        <v>34</v>
      </c>
    </row>
    <row r="389" customFormat="false" ht="15" hidden="false" customHeight="false" outlineLevel="0" collapsed="false">
      <c r="A389" s="6" t="s">
        <v>543</v>
      </c>
      <c r="B389" s="6" t="s">
        <v>364</v>
      </c>
      <c r="C389" s="6" t="s">
        <v>544</v>
      </c>
      <c r="D389" s="6" t="s">
        <v>52</v>
      </c>
      <c r="E389" s="7" t="n">
        <v>2.98</v>
      </c>
      <c r="F389" s="7" t="n">
        <v>2.98</v>
      </c>
      <c r="G389" s="6" t="s">
        <v>31</v>
      </c>
      <c r="H389" s="7" t="n">
        <v>2.85</v>
      </c>
      <c r="I389" s="7"/>
      <c r="J389" s="7"/>
      <c r="K389" s="6" t="s">
        <v>32</v>
      </c>
      <c r="L389" s="6" t="s">
        <v>33</v>
      </c>
      <c r="M389" s="8" t="n">
        <f aca="false">IF(H389&lt;E389,(E389-H389)/H389,IF(H389&gt;F389,(F389-H389)/H389,0))</f>
        <v>0.0456140350877193</v>
      </c>
      <c r="N389" s="9" t="s">
        <v>34</v>
      </c>
      <c r="O389" s="9" t="s">
        <v>34</v>
      </c>
    </row>
    <row r="390" customFormat="false" ht="15" hidden="false" customHeight="false" outlineLevel="0" collapsed="false">
      <c r="A390" s="6" t="s">
        <v>545</v>
      </c>
      <c r="B390" s="6" t="s">
        <v>364</v>
      </c>
      <c r="C390" s="6" t="s">
        <v>546</v>
      </c>
      <c r="D390" s="6" t="s">
        <v>30</v>
      </c>
      <c r="E390" s="7" t="n">
        <v>6.6</v>
      </c>
      <c r="F390" s="7" t="n">
        <v>6.6</v>
      </c>
      <c r="G390" s="6" t="s">
        <v>31</v>
      </c>
      <c r="H390" s="7" t="n">
        <v>5.99</v>
      </c>
      <c r="I390" s="7"/>
      <c r="J390" s="7"/>
      <c r="K390" s="6" t="s">
        <v>32</v>
      </c>
      <c r="L390" s="6" t="s">
        <v>93</v>
      </c>
      <c r="M390" s="8" t="n">
        <f aca="false">IF(H390&lt;E390,(E390-H390)/H390,IF(H390&gt;F390,(F390-H390)/H390,0))</f>
        <v>0.101836393989983</v>
      </c>
      <c r="N390" s="9" t="s">
        <v>34</v>
      </c>
      <c r="O390" s="9" t="s">
        <v>34</v>
      </c>
    </row>
    <row r="391" customFormat="false" ht="15" hidden="false" customHeight="false" outlineLevel="0" collapsed="false">
      <c r="A391" s="6" t="s">
        <v>547</v>
      </c>
      <c r="B391" s="6" t="s">
        <v>364</v>
      </c>
      <c r="C391" s="6" t="s">
        <v>548</v>
      </c>
      <c r="D391" s="6" t="s">
        <v>30</v>
      </c>
      <c r="E391" s="7" t="n">
        <v>13.21</v>
      </c>
      <c r="F391" s="7" t="n">
        <v>13.21</v>
      </c>
      <c r="G391" s="6" t="s">
        <v>31</v>
      </c>
      <c r="H391" s="7" t="n">
        <v>13.99</v>
      </c>
      <c r="I391" s="7"/>
      <c r="J391" s="7"/>
      <c r="K391" s="6" t="s">
        <v>40</v>
      </c>
      <c r="L391" s="6" t="s">
        <v>93</v>
      </c>
      <c r="M391" s="8" t="n">
        <f aca="false">IF(H391&lt;E391,(E391-H391)/H391,IF(H391&gt;F391,(F391-H391)/H391,0))</f>
        <v>-0.0557541100786275</v>
      </c>
      <c r="N391" s="9" t="s">
        <v>34</v>
      </c>
      <c r="O391" s="9" t="s">
        <v>34</v>
      </c>
    </row>
    <row r="392" customFormat="false" ht="15" hidden="false" customHeight="false" outlineLevel="0" collapsed="false">
      <c r="A392" s="6" t="s">
        <v>549</v>
      </c>
      <c r="B392" s="6" t="s">
        <v>364</v>
      </c>
      <c r="C392" s="6" t="s">
        <v>550</v>
      </c>
      <c r="D392" s="6" t="s">
        <v>30</v>
      </c>
      <c r="E392" s="7" t="n">
        <v>7.1</v>
      </c>
      <c r="F392" s="7" t="n">
        <v>7.1</v>
      </c>
      <c r="G392" s="6" t="s">
        <v>31</v>
      </c>
      <c r="H392" s="7" t="n">
        <v>6.49</v>
      </c>
      <c r="I392" s="7"/>
      <c r="J392" s="7"/>
      <c r="K392" s="6" t="s">
        <v>32</v>
      </c>
      <c r="L392" s="6" t="s">
        <v>33</v>
      </c>
      <c r="M392" s="8" t="n">
        <f aca="false">IF(H392&lt;E392,(E392-H392)/H392,IF(H392&gt;F392,(F392-H392)/H392,0))</f>
        <v>0.0939907550077041</v>
      </c>
      <c r="N392" s="9" t="s">
        <v>34</v>
      </c>
      <c r="O392" s="9" t="s">
        <v>34</v>
      </c>
    </row>
    <row r="393" customFormat="false" ht="15" hidden="false" customHeight="false" outlineLevel="0" collapsed="false">
      <c r="A393" s="6" t="s">
        <v>549</v>
      </c>
      <c r="B393" s="6" t="s">
        <v>364</v>
      </c>
      <c r="C393" s="6" t="s">
        <v>550</v>
      </c>
      <c r="D393" s="6" t="s">
        <v>30</v>
      </c>
      <c r="E393" s="7" t="n">
        <v>7.1</v>
      </c>
      <c r="F393" s="7" t="n">
        <v>7.1</v>
      </c>
      <c r="G393" s="6" t="s">
        <v>226</v>
      </c>
      <c r="H393" s="7" t="n">
        <v>6.72</v>
      </c>
      <c r="I393" s="7"/>
      <c r="J393" s="7"/>
      <c r="K393" s="6" t="s">
        <v>40</v>
      </c>
      <c r="L393" s="6" t="s">
        <v>33</v>
      </c>
      <c r="M393" s="8" t="n">
        <f aca="false">IF(H393&lt;E393,(E393-H393)/H393,IF(H393&gt;F393,(F393-H393)/H393,0))</f>
        <v>0.056547619047619</v>
      </c>
      <c r="N393" s="9" t="s">
        <v>34</v>
      </c>
      <c r="O393" s="9" t="s">
        <v>34</v>
      </c>
    </row>
    <row r="394" customFormat="false" ht="15" hidden="false" customHeight="false" outlineLevel="0" collapsed="false">
      <c r="A394" s="6" t="s">
        <v>551</v>
      </c>
      <c r="B394" s="6" t="s">
        <v>364</v>
      </c>
      <c r="C394" s="6" t="s">
        <v>552</v>
      </c>
      <c r="D394" s="6" t="s">
        <v>30</v>
      </c>
      <c r="E394" s="7" t="n">
        <v>13.9</v>
      </c>
      <c r="F394" s="7" t="n">
        <v>13.9</v>
      </c>
      <c r="G394" s="6" t="s">
        <v>31</v>
      </c>
      <c r="H394" s="7" t="n">
        <v>10.55</v>
      </c>
      <c r="I394" s="7"/>
      <c r="J394" s="7"/>
      <c r="K394" s="6" t="s">
        <v>32</v>
      </c>
      <c r="L394" s="6" t="s">
        <v>93</v>
      </c>
      <c r="M394" s="8" t="n">
        <f aca="false">IF(H394&lt;E394,(E394-H394)/H394,IF(H394&gt;F394,(F394-H394)/H394,0))</f>
        <v>0.317535545023697</v>
      </c>
      <c r="N394" s="9" t="s">
        <v>34</v>
      </c>
      <c r="O394" s="9" t="s">
        <v>34</v>
      </c>
    </row>
    <row r="395" customFormat="false" ht="15" hidden="false" customHeight="false" outlineLevel="0" collapsed="false">
      <c r="A395" s="6" t="s">
        <v>553</v>
      </c>
      <c r="B395" s="6" t="s">
        <v>364</v>
      </c>
      <c r="C395" s="6" t="s">
        <v>554</v>
      </c>
      <c r="D395" s="6" t="s">
        <v>69</v>
      </c>
      <c r="E395" s="7" t="n">
        <v>15.25</v>
      </c>
      <c r="F395" s="7" t="n">
        <v>15.25</v>
      </c>
      <c r="G395" s="6" t="s">
        <v>31</v>
      </c>
      <c r="H395" s="7" t="n">
        <v>14.2</v>
      </c>
      <c r="I395" s="7"/>
      <c r="J395" s="7"/>
      <c r="K395" s="6" t="s">
        <v>32</v>
      </c>
      <c r="L395" s="6" t="s">
        <v>93</v>
      </c>
      <c r="M395" s="8" t="n">
        <f aca="false">IF(H395&lt;E395,(E395-H395)/H395,IF(H395&gt;F395,(F395-H395)/H395,0))</f>
        <v>0.073943661971831</v>
      </c>
      <c r="N395" s="9" t="s">
        <v>34</v>
      </c>
      <c r="O395" s="9" t="s">
        <v>34</v>
      </c>
    </row>
    <row r="396" customFormat="false" ht="15" hidden="false" customHeight="false" outlineLevel="0" collapsed="false">
      <c r="A396" s="6" t="s">
        <v>553</v>
      </c>
      <c r="B396" s="6" t="s">
        <v>364</v>
      </c>
      <c r="C396" s="6" t="s">
        <v>554</v>
      </c>
      <c r="D396" s="6" t="s">
        <v>69</v>
      </c>
      <c r="E396" s="7" t="n">
        <v>15.25</v>
      </c>
      <c r="F396" s="7" t="n">
        <v>15.25</v>
      </c>
      <c r="G396" s="6" t="s">
        <v>226</v>
      </c>
      <c r="H396" s="7" t="n">
        <v>14.32</v>
      </c>
      <c r="I396" s="7"/>
      <c r="J396" s="7"/>
      <c r="K396" s="6" t="s">
        <v>40</v>
      </c>
      <c r="L396" s="6" t="s">
        <v>93</v>
      </c>
      <c r="M396" s="8" t="n">
        <f aca="false">IF(H396&lt;E396,(E396-H396)/H396,IF(H396&gt;F396,(F396-H396)/H396,0))</f>
        <v>0.0649441340782123</v>
      </c>
      <c r="N396" s="9" t="s">
        <v>34</v>
      </c>
      <c r="O396" s="9" t="s">
        <v>34</v>
      </c>
    </row>
    <row r="397" customFormat="false" ht="15" hidden="false" customHeight="false" outlineLevel="0" collapsed="false">
      <c r="A397" s="6" t="s">
        <v>555</v>
      </c>
      <c r="B397" s="6" t="s">
        <v>364</v>
      </c>
      <c r="C397" s="6" t="s">
        <v>556</v>
      </c>
      <c r="D397" s="6" t="s">
        <v>69</v>
      </c>
      <c r="E397" s="7" t="n">
        <v>16.99</v>
      </c>
      <c r="F397" s="7" t="n">
        <v>16.99</v>
      </c>
      <c r="G397" s="6" t="s">
        <v>31</v>
      </c>
      <c r="H397" s="7" t="n">
        <v>14.2</v>
      </c>
      <c r="I397" s="7"/>
      <c r="J397" s="7"/>
      <c r="K397" s="6" t="s">
        <v>32</v>
      </c>
      <c r="L397" s="6" t="s">
        <v>93</v>
      </c>
      <c r="M397" s="8" t="n">
        <f aca="false">IF(H397&lt;E397,(E397-H397)/H397,IF(H397&gt;F397,(F397-H397)/H397,0))</f>
        <v>0.196478873239437</v>
      </c>
      <c r="N397" s="9" t="s">
        <v>34</v>
      </c>
      <c r="O397" s="9" t="s">
        <v>34</v>
      </c>
    </row>
    <row r="398" customFormat="false" ht="15" hidden="false" customHeight="false" outlineLevel="0" collapsed="false">
      <c r="A398" s="6" t="s">
        <v>555</v>
      </c>
      <c r="B398" s="6" t="s">
        <v>364</v>
      </c>
      <c r="C398" s="6" t="s">
        <v>556</v>
      </c>
      <c r="D398" s="6" t="s">
        <v>69</v>
      </c>
      <c r="E398" s="7" t="n">
        <v>16.99</v>
      </c>
      <c r="F398" s="7" t="n">
        <v>16.99</v>
      </c>
      <c r="G398" s="6" t="s">
        <v>226</v>
      </c>
      <c r="H398" s="7" t="n">
        <v>14.8</v>
      </c>
      <c r="I398" s="7"/>
      <c r="J398" s="7"/>
      <c r="K398" s="6" t="s">
        <v>40</v>
      </c>
      <c r="L398" s="6" t="s">
        <v>45</v>
      </c>
      <c r="M398" s="8" t="n">
        <f aca="false">IF(H398&lt;E398,(E398-H398)/H398,IF(H398&gt;F398,(F398-H398)/H398,0))</f>
        <v>0.147972972972973</v>
      </c>
      <c r="N398" s="9" t="s">
        <v>34</v>
      </c>
      <c r="O398" s="9" t="s">
        <v>34</v>
      </c>
    </row>
    <row r="399" customFormat="false" ht="15" hidden="false" customHeight="false" outlineLevel="0" collapsed="false">
      <c r="A399" s="6" t="s">
        <v>557</v>
      </c>
      <c r="B399" s="6" t="s">
        <v>364</v>
      </c>
      <c r="C399" s="6" t="s">
        <v>558</v>
      </c>
      <c r="D399" s="6" t="s">
        <v>30</v>
      </c>
      <c r="E399" s="7" t="n">
        <v>7.15</v>
      </c>
      <c r="F399" s="7" t="n">
        <v>7.15</v>
      </c>
      <c r="G399" s="6" t="s">
        <v>31</v>
      </c>
      <c r="H399" s="7" t="n">
        <v>5.44</v>
      </c>
      <c r="I399" s="7"/>
      <c r="J399" s="7"/>
      <c r="K399" s="6" t="s">
        <v>32</v>
      </c>
      <c r="L399" s="6" t="s">
        <v>93</v>
      </c>
      <c r="M399" s="8" t="n">
        <f aca="false">IF(H399&lt;E399,(E399-H399)/H399,IF(H399&gt;F399,(F399-H399)/H399,0))</f>
        <v>0.314338235294118</v>
      </c>
      <c r="N399" s="9" t="s">
        <v>34</v>
      </c>
      <c r="O399" s="9" t="s">
        <v>34</v>
      </c>
    </row>
    <row r="400" customFormat="false" ht="15" hidden="false" customHeight="false" outlineLevel="0" collapsed="false">
      <c r="A400" s="6" t="s">
        <v>557</v>
      </c>
      <c r="B400" s="6" t="s">
        <v>364</v>
      </c>
      <c r="C400" s="6" t="s">
        <v>558</v>
      </c>
      <c r="D400" s="6" t="s">
        <v>30</v>
      </c>
      <c r="E400" s="7" t="n">
        <v>7.15</v>
      </c>
      <c r="F400" s="7" t="n">
        <v>7.15</v>
      </c>
      <c r="G400" s="6" t="s">
        <v>226</v>
      </c>
      <c r="H400" s="7" t="n">
        <v>6.4</v>
      </c>
      <c r="I400" s="7"/>
      <c r="J400" s="7"/>
      <c r="K400" s="6" t="s">
        <v>40</v>
      </c>
      <c r="L400" s="6" t="s">
        <v>45</v>
      </c>
      <c r="M400" s="8" t="n">
        <f aca="false">IF(H400&lt;E400,(E400-H400)/H400,IF(H400&gt;F400,(F400-H400)/H400,0))</f>
        <v>0.1171875</v>
      </c>
      <c r="N400" s="9" t="s">
        <v>34</v>
      </c>
      <c r="O400" s="9" t="s">
        <v>34</v>
      </c>
    </row>
    <row r="401" customFormat="false" ht="15" hidden="false" customHeight="false" outlineLevel="0" collapsed="false">
      <c r="A401" s="6" t="s">
        <v>559</v>
      </c>
      <c r="B401" s="6" t="s">
        <v>364</v>
      </c>
      <c r="C401" s="6" t="s">
        <v>560</v>
      </c>
      <c r="D401" s="6" t="s">
        <v>82</v>
      </c>
      <c r="E401" s="7" t="n">
        <v>6.79</v>
      </c>
      <c r="F401" s="7" t="n">
        <v>6.79</v>
      </c>
      <c r="G401" s="6" t="s">
        <v>31</v>
      </c>
      <c r="H401" s="7" t="n">
        <v>5.44</v>
      </c>
      <c r="I401" s="7"/>
      <c r="J401" s="7"/>
      <c r="K401" s="6" t="s">
        <v>32</v>
      </c>
      <c r="L401" s="6" t="s">
        <v>93</v>
      </c>
      <c r="M401" s="8" t="n">
        <f aca="false">IF(H401&lt;E401,(E401-H401)/H401,IF(H401&gt;F401,(F401-H401)/H401,0))</f>
        <v>0.248161764705882</v>
      </c>
      <c r="N401" s="9" t="s">
        <v>34</v>
      </c>
      <c r="O401" s="9" t="s">
        <v>34</v>
      </c>
    </row>
    <row r="402" customFormat="false" ht="15" hidden="false" customHeight="false" outlineLevel="0" collapsed="false">
      <c r="A402" s="6" t="s">
        <v>559</v>
      </c>
      <c r="B402" s="6" t="s">
        <v>364</v>
      </c>
      <c r="C402" s="6" t="s">
        <v>560</v>
      </c>
      <c r="D402" s="6" t="s">
        <v>82</v>
      </c>
      <c r="E402" s="7" t="n">
        <v>6.79</v>
      </c>
      <c r="F402" s="7" t="n">
        <v>6.79</v>
      </c>
      <c r="G402" s="6" t="s">
        <v>226</v>
      </c>
      <c r="H402" s="7" t="n">
        <v>5.99</v>
      </c>
      <c r="I402" s="7"/>
      <c r="J402" s="7"/>
      <c r="K402" s="6" t="s">
        <v>40</v>
      </c>
      <c r="L402" s="6" t="s">
        <v>93</v>
      </c>
      <c r="M402" s="8" t="n">
        <f aca="false">IF(H402&lt;E402,(E402-H402)/H402,IF(H402&gt;F402,(F402-H402)/H402,0))</f>
        <v>0.13355592654424</v>
      </c>
      <c r="N402" s="9" t="s">
        <v>34</v>
      </c>
      <c r="O402" s="9" t="s">
        <v>34</v>
      </c>
    </row>
    <row r="403" customFormat="false" ht="15" hidden="false" customHeight="false" outlineLevel="0" collapsed="false">
      <c r="A403" s="6" t="s">
        <v>561</v>
      </c>
      <c r="B403" s="6" t="s">
        <v>364</v>
      </c>
      <c r="C403" s="6" t="s">
        <v>562</v>
      </c>
      <c r="D403" s="6" t="s">
        <v>30</v>
      </c>
      <c r="E403" s="7" t="n">
        <v>15.98</v>
      </c>
      <c r="F403" s="7" t="n">
        <v>15.98</v>
      </c>
      <c r="G403" s="6" t="s">
        <v>31</v>
      </c>
      <c r="H403" s="7" t="n">
        <v>11.5</v>
      </c>
      <c r="I403" s="7"/>
      <c r="J403" s="7"/>
      <c r="K403" s="6" t="s">
        <v>32</v>
      </c>
      <c r="L403" s="6" t="s">
        <v>93</v>
      </c>
      <c r="M403" s="8" t="n">
        <f aca="false">IF(H403&lt;E403,(E403-H403)/H403,IF(H403&gt;F403,(F403-H403)/H403,0))</f>
        <v>0.389565217391304</v>
      </c>
      <c r="N403" s="9" t="s">
        <v>34</v>
      </c>
      <c r="O403" s="9" t="s">
        <v>34</v>
      </c>
    </row>
    <row r="404" customFormat="false" ht="15" hidden="false" customHeight="false" outlineLevel="0" collapsed="false">
      <c r="A404" s="6" t="s">
        <v>563</v>
      </c>
      <c r="B404" s="6" t="s">
        <v>364</v>
      </c>
      <c r="C404" s="6" t="s">
        <v>564</v>
      </c>
      <c r="D404" s="6" t="s">
        <v>30</v>
      </c>
      <c r="E404" s="7" t="n">
        <v>15.2</v>
      </c>
      <c r="F404" s="7" t="n">
        <v>15.2</v>
      </c>
      <c r="G404" s="6" t="s">
        <v>31</v>
      </c>
      <c r="H404" s="7" t="n">
        <v>5.49</v>
      </c>
      <c r="I404" s="7"/>
      <c r="J404" s="7"/>
      <c r="K404" s="6" t="s">
        <v>32</v>
      </c>
      <c r="L404" s="6" t="s">
        <v>33</v>
      </c>
      <c r="M404" s="8" t="n">
        <f aca="false">IF(H404&lt;E404,(E404-H404)/H404,IF(H404&gt;F404,(F404-H404)/H404,0))</f>
        <v>1.76867030965392</v>
      </c>
      <c r="N404" s="9" t="s">
        <v>34</v>
      </c>
      <c r="O404" s="9" t="s">
        <v>34</v>
      </c>
    </row>
    <row r="405" customFormat="false" ht="15" hidden="false" customHeight="false" outlineLevel="0" collapsed="false">
      <c r="A405" s="6" t="s">
        <v>565</v>
      </c>
      <c r="B405" s="6" t="s">
        <v>364</v>
      </c>
      <c r="C405" s="6" t="s">
        <v>566</v>
      </c>
      <c r="D405" s="6" t="s">
        <v>162</v>
      </c>
      <c r="E405" s="7" t="n">
        <v>17.1</v>
      </c>
      <c r="F405" s="7" t="n">
        <v>17.1</v>
      </c>
      <c r="G405" s="6" t="s">
        <v>31</v>
      </c>
      <c r="H405" s="7" t="n">
        <v>15.39</v>
      </c>
      <c r="I405" s="7"/>
      <c r="J405" s="7"/>
      <c r="K405" s="6" t="s">
        <v>32</v>
      </c>
      <c r="L405" s="6" t="s">
        <v>45</v>
      </c>
      <c r="M405" s="8" t="n">
        <f aca="false">IF(H405&lt;E405,(E405-H405)/H405,IF(H405&gt;F405,(F405-H405)/H405,0))</f>
        <v>0.111111111111111</v>
      </c>
      <c r="N405" s="9" t="s">
        <v>34</v>
      </c>
      <c r="O405" s="9" t="s">
        <v>34</v>
      </c>
    </row>
    <row r="406" customFormat="false" ht="15" hidden="false" customHeight="false" outlineLevel="0" collapsed="false">
      <c r="A406" s="6" t="s">
        <v>567</v>
      </c>
      <c r="B406" s="6" t="s">
        <v>364</v>
      </c>
      <c r="C406" s="6" t="s">
        <v>568</v>
      </c>
      <c r="D406" s="6" t="s">
        <v>294</v>
      </c>
      <c r="E406" s="7" t="n">
        <v>6.98</v>
      </c>
      <c r="F406" s="7" t="n">
        <v>6.98</v>
      </c>
      <c r="G406" s="6" t="s">
        <v>31</v>
      </c>
      <c r="H406" s="7" t="n">
        <v>5.99</v>
      </c>
      <c r="I406" s="7"/>
      <c r="J406" s="7"/>
      <c r="K406" s="6" t="s">
        <v>32</v>
      </c>
      <c r="L406" s="6" t="s">
        <v>93</v>
      </c>
      <c r="M406" s="8" t="n">
        <f aca="false">IF(H406&lt;E406,(E406-H406)/H406,IF(H406&gt;F406,(F406-H406)/H406,0))</f>
        <v>0.165275459098498</v>
      </c>
      <c r="N406" s="9" t="s">
        <v>34</v>
      </c>
      <c r="O406" s="9" t="s">
        <v>34</v>
      </c>
    </row>
    <row r="407" customFormat="false" ht="15" hidden="false" customHeight="false" outlineLevel="0" collapsed="false">
      <c r="A407" s="6" t="s">
        <v>569</v>
      </c>
      <c r="B407" s="6" t="s">
        <v>364</v>
      </c>
      <c r="C407" s="6" t="s">
        <v>570</v>
      </c>
      <c r="D407" s="6" t="s">
        <v>294</v>
      </c>
      <c r="E407" s="7" t="n">
        <v>6.98</v>
      </c>
      <c r="F407" s="7" t="n">
        <v>6.98</v>
      </c>
      <c r="G407" s="6" t="s">
        <v>31</v>
      </c>
      <c r="H407" s="7" t="n">
        <v>5.99</v>
      </c>
      <c r="I407" s="7"/>
      <c r="J407" s="7"/>
      <c r="K407" s="6" t="s">
        <v>32</v>
      </c>
      <c r="L407" s="6" t="s">
        <v>93</v>
      </c>
      <c r="M407" s="8" t="n">
        <f aca="false">IF(H407&lt;E407,(E407-H407)/H407,IF(H407&gt;F407,(F407-H407)/H407,0))</f>
        <v>0.165275459098498</v>
      </c>
      <c r="N407" s="9" t="s">
        <v>34</v>
      </c>
      <c r="O407" s="9" t="s">
        <v>34</v>
      </c>
    </row>
    <row r="408" customFormat="false" ht="15" hidden="false" customHeight="false" outlineLevel="0" collapsed="false">
      <c r="A408" s="6" t="s">
        <v>571</v>
      </c>
      <c r="B408" s="6" t="s">
        <v>364</v>
      </c>
      <c r="C408" s="6" t="s">
        <v>572</v>
      </c>
      <c r="D408" s="6" t="s">
        <v>294</v>
      </c>
      <c r="E408" s="7" t="n">
        <v>7.35</v>
      </c>
      <c r="F408" s="7" t="n">
        <v>7.35</v>
      </c>
      <c r="G408" s="6" t="s">
        <v>31</v>
      </c>
      <c r="H408" s="7" t="n">
        <v>5.99</v>
      </c>
      <c r="I408" s="7"/>
      <c r="J408" s="7"/>
      <c r="K408" s="6" t="s">
        <v>32</v>
      </c>
      <c r="L408" s="6" t="s">
        <v>93</v>
      </c>
      <c r="M408" s="8" t="n">
        <f aca="false">IF(H408&lt;E408,(E408-H408)/H408,IF(H408&gt;F408,(F408-H408)/H408,0))</f>
        <v>0.227045075125209</v>
      </c>
      <c r="N408" s="9" t="s">
        <v>34</v>
      </c>
      <c r="O408" s="9" t="s">
        <v>34</v>
      </c>
    </row>
    <row r="409" customFormat="false" ht="15" hidden="false" customHeight="false" outlineLevel="0" collapsed="false">
      <c r="A409" s="6" t="s">
        <v>573</v>
      </c>
      <c r="B409" s="6" t="s">
        <v>364</v>
      </c>
      <c r="C409" s="6" t="s">
        <v>574</v>
      </c>
      <c r="D409" s="6" t="s">
        <v>575</v>
      </c>
      <c r="E409" s="7" t="n">
        <v>13.98</v>
      </c>
      <c r="F409" s="7" t="n">
        <v>26.5</v>
      </c>
      <c r="G409" s="6" t="s">
        <v>31</v>
      </c>
      <c r="H409" s="7" t="n">
        <v>27.99</v>
      </c>
      <c r="I409" s="7"/>
      <c r="J409" s="7"/>
      <c r="K409" s="6" t="s">
        <v>32</v>
      </c>
      <c r="L409" s="6" t="s">
        <v>33</v>
      </c>
      <c r="M409" s="8" t="n">
        <f aca="false">IF(H409&lt;E409,(E409-H409)/H409,IF(H409&gt;F409,(F409-H409)/H409,0))</f>
        <v>-0.0532332976062879</v>
      </c>
      <c r="N409" s="9" t="s">
        <v>34</v>
      </c>
      <c r="O409" s="9" t="s">
        <v>34</v>
      </c>
    </row>
    <row r="410" customFormat="false" ht="15" hidden="false" customHeight="false" outlineLevel="0" collapsed="false">
      <c r="A410" s="6" t="s">
        <v>573</v>
      </c>
      <c r="B410" s="6" t="s">
        <v>364</v>
      </c>
      <c r="C410" s="6" t="s">
        <v>574</v>
      </c>
      <c r="D410" s="6" t="s">
        <v>575</v>
      </c>
      <c r="E410" s="7" t="n">
        <v>13.98</v>
      </c>
      <c r="F410" s="7" t="n">
        <v>26.5</v>
      </c>
      <c r="G410" s="6" t="s">
        <v>105</v>
      </c>
      <c r="H410" s="7" t="n">
        <v>20.1</v>
      </c>
      <c r="I410" s="7"/>
      <c r="J410" s="7"/>
      <c r="K410" s="6" t="s">
        <v>106</v>
      </c>
      <c r="L410" s="6" t="s">
        <v>33</v>
      </c>
      <c r="M410" s="8" t="n">
        <f aca="false">IF(H410&lt;E410,(E410-H410)/H410,IF(H410&gt;F410,(F410-H410)/H410,0))</f>
        <v>0</v>
      </c>
      <c r="N410" s="9" t="s">
        <v>34</v>
      </c>
      <c r="O410" s="9" t="s">
        <v>34</v>
      </c>
    </row>
    <row r="411" customFormat="false" ht="15" hidden="false" customHeight="false" outlineLevel="0" collapsed="false">
      <c r="A411" s="6" t="s">
        <v>576</v>
      </c>
      <c r="B411" s="6" t="s">
        <v>577</v>
      </c>
      <c r="C411" s="6" t="s">
        <v>578</v>
      </c>
      <c r="D411" s="6" t="s">
        <v>69</v>
      </c>
      <c r="E411" s="7" t="n">
        <v>9.9</v>
      </c>
      <c r="F411" s="7" t="n">
        <v>9.9</v>
      </c>
      <c r="G411" s="6" t="s">
        <v>31</v>
      </c>
      <c r="H411" s="7" t="n">
        <v>7.92</v>
      </c>
      <c r="I411" s="7"/>
      <c r="J411" s="7"/>
      <c r="K411" s="6" t="s">
        <v>32</v>
      </c>
      <c r="L411" s="6" t="s">
        <v>33</v>
      </c>
      <c r="M411" s="8" t="n">
        <f aca="false">IF(H411&lt;E411,(E411-H411)/H411,IF(H411&gt;F411,(F411-H411)/H411,0))</f>
        <v>0.25</v>
      </c>
      <c r="N411" s="9" t="s">
        <v>34</v>
      </c>
      <c r="O411" s="9" t="s">
        <v>34</v>
      </c>
    </row>
    <row r="412" customFormat="false" ht="15" hidden="false" customHeight="false" outlineLevel="0" collapsed="false">
      <c r="A412" s="6" t="s">
        <v>579</v>
      </c>
      <c r="B412" s="6" t="s">
        <v>577</v>
      </c>
      <c r="C412" s="6" t="s">
        <v>580</v>
      </c>
      <c r="D412" s="6" t="s">
        <v>30</v>
      </c>
      <c r="E412" s="7" t="n">
        <v>6.9</v>
      </c>
      <c r="F412" s="7" t="n">
        <v>6.9</v>
      </c>
      <c r="G412" s="6" t="s">
        <v>31</v>
      </c>
      <c r="H412" s="7" t="n">
        <v>5.49</v>
      </c>
      <c r="I412" s="7"/>
      <c r="J412" s="7"/>
      <c r="K412" s="6" t="s">
        <v>32</v>
      </c>
      <c r="L412" s="6" t="s">
        <v>33</v>
      </c>
      <c r="M412" s="8" t="n">
        <f aca="false">IF(H412&lt;E412,(E412-H412)/H412,IF(H412&gt;F412,(F412-H412)/H412,0))</f>
        <v>0.256830601092896</v>
      </c>
      <c r="N412" s="9" t="s">
        <v>34</v>
      </c>
      <c r="O412" s="9" t="s">
        <v>34</v>
      </c>
    </row>
    <row r="413" customFormat="false" ht="15" hidden="false" customHeight="false" outlineLevel="0" collapsed="false">
      <c r="A413" s="6" t="s">
        <v>581</v>
      </c>
      <c r="B413" s="6" t="s">
        <v>577</v>
      </c>
      <c r="C413" s="6" t="s">
        <v>582</v>
      </c>
      <c r="D413" s="6" t="s">
        <v>69</v>
      </c>
      <c r="E413" s="7" t="n">
        <v>6.9</v>
      </c>
      <c r="F413" s="7" t="n">
        <v>6.9</v>
      </c>
      <c r="G413" s="6" t="s">
        <v>31</v>
      </c>
      <c r="H413" s="7" t="n">
        <v>5.1</v>
      </c>
      <c r="I413" s="7"/>
      <c r="J413" s="7"/>
      <c r="K413" s="6" t="s">
        <v>32</v>
      </c>
      <c r="L413" s="6" t="s">
        <v>33</v>
      </c>
      <c r="M413" s="8" t="n">
        <f aca="false">IF(H413&lt;E413,(E413-H413)/H413,IF(H413&gt;F413,(F413-H413)/H413,0))</f>
        <v>0.352941176470588</v>
      </c>
      <c r="N413" s="9" t="s">
        <v>34</v>
      </c>
      <c r="O413" s="9" t="s">
        <v>34</v>
      </c>
    </row>
    <row r="414" customFormat="false" ht="15" hidden="false" customHeight="false" outlineLevel="0" collapsed="false">
      <c r="A414" s="6" t="s">
        <v>583</v>
      </c>
      <c r="B414" s="6" t="s">
        <v>577</v>
      </c>
      <c r="C414" s="6" t="s">
        <v>584</v>
      </c>
      <c r="D414" s="6" t="s">
        <v>69</v>
      </c>
      <c r="E414" s="7" t="n">
        <v>7.9</v>
      </c>
      <c r="F414" s="7" t="n">
        <v>7.9</v>
      </c>
      <c r="G414" s="6" t="s">
        <v>31</v>
      </c>
      <c r="H414" s="7" t="n">
        <v>4.89</v>
      </c>
      <c r="I414" s="7"/>
      <c r="J414" s="7"/>
      <c r="K414" s="6" t="s">
        <v>32</v>
      </c>
      <c r="L414" s="6" t="s">
        <v>33</v>
      </c>
      <c r="M414" s="8" t="n">
        <f aca="false">IF(H414&lt;E414,(E414-H414)/H414,IF(H414&gt;F414,(F414-H414)/H414,0))</f>
        <v>0.615541922290389</v>
      </c>
      <c r="N414" s="9" t="s">
        <v>34</v>
      </c>
      <c r="O414" s="9" t="s">
        <v>34</v>
      </c>
    </row>
    <row r="415" customFormat="false" ht="15" hidden="false" customHeight="false" outlineLevel="0" collapsed="false">
      <c r="A415" s="6" t="s">
        <v>585</v>
      </c>
      <c r="B415" s="6" t="s">
        <v>586</v>
      </c>
      <c r="C415" s="6" t="s">
        <v>587</v>
      </c>
      <c r="D415" s="6" t="s">
        <v>30</v>
      </c>
      <c r="E415" s="7" t="n">
        <v>10.5</v>
      </c>
      <c r="F415" s="7" t="n">
        <v>10.5</v>
      </c>
      <c r="G415" s="6" t="s">
        <v>31</v>
      </c>
      <c r="H415" s="7" t="n">
        <v>9.99</v>
      </c>
      <c r="I415" s="7"/>
      <c r="J415" s="7"/>
      <c r="K415" s="6" t="s">
        <v>32</v>
      </c>
      <c r="L415" s="6" t="s">
        <v>93</v>
      </c>
      <c r="M415" s="8" t="n">
        <f aca="false">IF(H415&lt;E415,(E415-H415)/H415,IF(H415&gt;F415,(F415-H415)/H415,0))</f>
        <v>0.051051051051051</v>
      </c>
      <c r="N415" s="9" t="s">
        <v>34</v>
      </c>
      <c r="O415" s="9" t="s">
        <v>34</v>
      </c>
    </row>
    <row r="416" customFormat="false" ht="15" hidden="false" customHeight="false" outlineLevel="0" collapsed="false">
      <c r="A416" s="6" t="s">
        <v>588</v>
      </c>
      <c r="B416" s="6" t="s">
        <v>586</v>
      </c>
      <c r="C416" s="6" t="s">
        <v>589</v>
      </c>
      <c r="D416" s="6" t="s">
        <v>30</v>
      </c>
      <c r="E416" s="7" t="n">
        <v>12.5</v>
      </c>
      <c r="F416" s="7" t="n">
        <v>12.5</v>
      </c>
      <c r="G416" s="6" t="s">
        <v>31</v>
      </c>
      <c r="H416" s="7" t="n">
        <v>12.49</v>
      </c>
      <c r="I416" s="7"/>
      <c r="J416" s="7"/>
      <c r="K416" s="6" t="s">
        <v>32</v>
      </c>
      <c r="L416" s="6" t="s">
        <v>93</v>
      </c>
      <c r="M416" s="8" t="n">
        <f aca="false">IF(H416&lt;E416,(E416-H416)/H416,IF(H416&gt;F416,(F416-H416)/H416,0))</f>
        <v>0.000800640512409911</v>
      </c>
      <c r="N416" s="9" t="s">
        <v>34</v>
      </c>
      <c r="O416" s="9" t="s">
        <v>34</v>
      </c>
    </row>
    <row r="417" customFormat="false" ht="15" hidden="false" customHeight="false" outlineLevel="0" collapsed="false">
      <c r="A417" s="6" t="s">
        <v>590</v>
      </c>
      <c r="B417" s="6" t="s">
        <v>586</v>
      </c>
      <c r="C417" s="6" t="s">
        <v>591</v>
      </c>
      <c r="D417" s="6" t="s">
        <v>52</v>
      </c>
      <c r="E417" s="7" t="n">
        <v>39.9</v>
      </c>
      <c r="F417" s="7" t="n">
        <v>39.9</v>
      </c>
      <c r="G417" s="6" t="s">
        <v>31</v>
      </c>
      <c r="H417" s="7" t="n">
        <v>39.99</v>
      </c>
      <c r="I417" s="7"/>
      <c r="J417" s="7"/>
      <c r="K417" s="6" t="s">
        <v>40</v>
      </c>
      <c r="L417" s="6" t="s">
        <v>93</v>
      </c>
      <c r="M417" s="8" t="n">
        <f aca="false">IF(H417&lt;E417,(E417-H417)/H417,IF(H417&gt;F417,(F417-H417)/H417,0))</f>
        <v>-0.00225056264066025</v>
      </c>
      <c r="N417" s="9" t="s">
        <v>34</v>
      </c>
      <c r="O417" s="9" t="s">
        <v>34</v>
      </c>
    </row>
    <row r="418" customFormat="false" ht="15" hidden="false" customHeight="false" outlineLevel="0" collapsed="false">
      <c r="A418" s="6" t="s">
        <v>592</v>
      </c>
      <c r="B418" s="6" t="s">
        <v>586</v>
      </c>
      <c r="C418" s="6" t="s">
        <v>593</v>
      </c>
      <c r="D418" s="6" t="s">
        <v>30</v>
      </c>
      <c r="E418" s="7" t="n">
        <v>9.5</v>
      </c>
      <c r="F418" s="7" t="n">
        <v>9.5</v>
      </c>
      <c r="G418" s="6" t="s">
        <v>31</v>
      </c>
      <c r="H418" s="7" t="n">
        <v>9.59</v>
      </c>
      <c r="I418" s="7"/>
      <c r="J418" s="7"/>
      <c r="K418" s="6" t="s">
        <v>32</v>
      </c>
      <c r="L418" s="6" t="s">
        <v>93</v>
      </c>
      <c r="M418" s="8" t="n">
        <f aca="false">IF(H418&lt;E418,(E418-H418)/H418,IF(H418&gt;F418,(F418-H418)/H418,0))</f>
        <v>-0.00938477580813346</v>
      </c>
      <c r="N418" s="9" t="s">
        <v>34</v>
      </c>
      <c r="O418" s="9" t="s">
        <v>34</v>
      </c>
    </row>
    <row r="419" customFormat="false" ht="15" hidden="false" customHeight="false" outlineLevel="0" collapsed="false">
      <c r="A419" s="6" t="s">
        <v>594</v>
      </c>
      <c r="B419" s="6" t="s">
        <v>586</v>
      </c>
      <c r="C419" s="6" t="s">
        <v>595</v>
      </c>
      <c r="D419" s="6" t="s">
        <v>111</v>
      </c>
      <c r="E419" s="7" t="n">
        <v>5.99</v>
      </c>
      <c r="F419" s="7" t="n">
        <v>5.99</v>
      </c>
      <c r="G419" s="6" t="s">
        <v>31</v>
      </c>
      <c r="H419" s="7" t="n">
        <v>6.49</v>
      </c>
      <c r="I419" s="7"/>
      <c r="J419" s="7"/>
      <c r="K419" s="6" t="s">
        <v>32</v>
      </c>
      <c r="L419" s="6" t="s">
        <v>93</v>
      </c>
      <c r="M419" s="8" t="n">
        <f aca="false">IF(H419&lt;E419,(E419-H419)/H419,IF(H419&gt;F419,(F419-H419)/H419,0))</f>
        <v>-0.0770416024653313</v>
      </c>
      <c r="N419" s="9" t="s">
        <v>34</v>
      </c>
      <c r="O419" s="9" t="s">
        <v>34</v>
      </c>
    </row>
    <row r="420" customFormat="false" ht="15" hidden="false" customHeight="false" outlineLevel="0" collapsed="false">
      <c r="A420" s="6" t="s">
        <v>596</v>
      </c>
      <c r="B420" s="6" t="s">
        <v>586</v>
      </c>
      <c r="C420" s="6" t="s">
        <v>597</v>
      </c>
      <c r="D420" s="6" t="s">
        <v>111</v>
      </c>
      <c r="E420" s="7" t="n">
        <v>5.99</v>
      </c>
      <c r="F420" s="7" t="n">
        <v>6.99</v>
      </c>
      <c r="G420" s="6" t="s">
        <v>31</v>
      </c>
      <c r="H420" s="7" t="n">
        <v>6.49</v>
      </c>
      <c r="I420" s="7"/>
      <c r="J420" s="7"/>
      <c r="K420" s="6" t="s">
        <v>32</v>
      </c>
      <c r="L420" s="6" t="s">
        <v>93</v>
      </c>
      <c r="M420" s="8" t="n">
        <f aca="false">IF(H420&lt;E420,(E420-H420)/H420,IF(H420&gt;F420,(F420-H420)/H420,0))</f>
        <v>0</v>
      </c>
      <c r="N420" s="9" t="s">
        <v>34</v>
      </c>
      <c r="O420" s="9" t="s">
        <v>34</v>
      </c>
    </row>
    <row r="421" customFormat="false" ht="15" hidden="false" customHeight="false" outlineLevel="0" collapsed="false">
      <c r="A421" s="6" t="s">
        <v>598</v>
      </c>
      <c r="B421" s="6" t="s">
        <v>586</v>
      </c>
      <c r="C421" s="6" t="s">
        <v>599</v>
      </c>
      <c r="D421" s="6" t="s">
        <v>111</v>
      </c>
      <c r="E421" s="7" t="n">
        <v>5.99</v>
      </c>
      <c r="F421" s="7" t="n">
        <v>6.99</v>
      </c>
      <c r="G421" s="6" t="s">
        <v>31</v>
      </c>
      <c r="H421" s="7" t="n">
        <v>6.49</v>
      </c>
      <c r="I421" s="7"/>
      <c r="J421" s="7"/>
      <c r="K421" s="6" t="s">
        <v>32</v>
      </c>
      <c r="L421" s="6" t="s">
        <v>93</v>
      </c>
      <c r="M421" s="8" t="n">
        <f aca="false">IF(H421&lt;E421,(E421-H421)/H421,IF(H421&gt;F421,(F421-H421)/H421,0))</f>
        <v>0</v>
      </c>
      <c r="N421" s="9" t="s">
        <v>34</v>
      </c>
      <c r="O421" s="9" t="s">
        <v>34</v>
      </c>
    </row>
    <row r="422" customFormat="false" ht="15" hidden="false" customHeight="false" outlineLevel="0" collapsed="false">
      <c r="A422" s="6" t="s">
        <v>600</v>
      </c>
      <c r="B422" s="6" t="s">
        <v>586</v>
      </c>
      <c r="C422" s="6" t="s">
        <v>601</v>
      </c>
      <c r="D422" s="6" t="s">
        <v>30</v>
      </c>
      <c r="E422" s="7" t="n">
        <v>9</v>
      </c>
      <c r="F422" s="7" t="n">
        <v>9</v>
      </c>
      <c r="G422" s="6" t="s">
        <v>31</v>
      </c>
      <c r="H422" s="7" t="n">
        <v>7.2</v>
      </c>
      <c r="I422" s="7"/>
      <c r="J422" s="7"/>
      <c r="K422" s="6" t="s">
        <v>32</v>
      </c>
      <c r="L422" s="6" t="s">
        <v>93</v>
      </c>
      <c r="M422" s="8" t="n">
        <f aca="false">IF(H422&lt;E422,(E422-H422)/H422,IF(H422&gt;F422,(F422-H422)/H422,0))</f>
        <v>0.25</v>
      </c>
      <c r="N422" s="9" t="s">
        <v>34</v>
      </c>
      <c r="O422" s="9" t="s">
        <v>34</v>
      </c>
    </row>
    <row r="423" customFormat="false" ht="15" hidden="false" customHeight="false" outlineLevel="0" collapsed="false">
      <c r="A423" s="6" t="s">
        <v>602</v>
      </c>
      <c r="B423" s="6" t="s">
        <v>586</v>
      </c>
      <c r="C423" s="6" t="s">
        <v>603</v>
      </c>
      <c r="D423" s="6" t="s">
        <v>111</v>
      </c>
      <c r="E423" s="7" t="n">
        <v>5.99</v>
      </c>
      <c r="F423" s="7" t="n">
        <v>6.99</v>
      </c>
      <c r="G423" s="6" t="s">
        <v>31</v>
      </c>
      <c r="H423" s="7" t="n">
        <v>6.5</v>
      </c>
      <c r="I423" s="7"/>
      <c r="J423" s="7"/>
      <c r="K423" s="6" t="s">
        <v>32</v>
      </c>
      <c r="L423" s="6" t="s">
        <v>93</v>
      </c>
      <c r="M423" s="8" t="n">
        <f aca="false">IF(H423&lt;E423,(E423-H423)/H423,IF(H423&gt;F423,(F423-H423)/H423,0))</f>
        <v>0</v>
      </c>
      <c r="N423" s="9" t="s">
        <v>34</v>
      </c>
      <c r="O423" s="9" t="s">
        <v>34</v>
      </c>
    </row>
    <row r="424" customFormat="false" ht="15" hidden="false" customHeight="false" outlineLevel="0" collapsed="false">
      <c r="A424" s="6" t="s">
        <v>604</v>
      </c>
      <c r="B424" s="6" t="s">
        <v>586</v>
      </c>
      <c r="C424" s="6" t="s">
        <v>605</v>
      </c>
      <c r="D424" s="6" t="s">
        <v>111</v>
      </c>
      <c r="E424" s="7" t="n">
        <v>6.99</v>
      </c>
      <c r="F424" s="7" t="n">
        <v>6.99</v>
      </c>
      <c r="G424" s="6" t="s">
        <v>31</v>
      </c>
      <c r="H424" s="7" t="n">
        <v>6.25</v>
      </c>
      <c r="I424" s="7"/>
      <c r="J424" s="7"/>
      <c r="K424" s="6" t="s">
        <v>32</v>
      </c>
      <c r="L424" s="6" t="s">
        <v>93</v>
      </c>
      <c r="M424" s="8" t="n">
        <f aca="false">IF(H424&lt;E424,(E424-H424)/H424,IF(H424&gt;F424,(F424-H424)/H424,0))</f>
        <v>0.1184</v>
      </c>
      <c r="N424" s="9" t="s">
        <v>34</v>
      </c>
      <c r="O424" s="9" t="s">
        <v>34</v>
      </c>
    </row>
    <row r="425" customFormat="false" ht="15" hidden="false" customHeight="false" outlineLevel="0" collapsed="false">
      <c r="A425" s="6" t="s">
        <v>606</v>
      </c>
      <c r="B425" s="6" t="s">
        <v>586</v>
      </c>
      <c r="C425" s="6" t="s">
        <v>607</v>
      </c>
      <c r="D425" s="6" t="s">
        <v>111</v>
      </c>
      <c r="E425" s="7" t="n">
        <v>6.99</v>
      </c>
      <c r="F425" s="7" t="n">
        <v>6.99</v>
      </c>
      <c r="G425" s="6" t="s">
        <v>31</v>
      </c>
      <c r="H425" s="7" t="n">
        <v>6.25</v>
      </c>
      <c r="I425" s="7"/>
      <c r="J425" s="7"/>
      <c r="K425" s="6" t="s">
        <v>32</v>
      </c>
      <c r="L425" s="6" t="s">
        <v>93</v>
      </c>
      <c r="M425" s="8" t="n">
        <f aca="false">IF(H425&lt;E425,(E425-H425)/H425,IF(H425&gt;F425,(F425-H425)/H425,0))</f>
        <v>0.1184</v>
      </c>
      <c r="N425" s="9" t="s">
        <v>34</v>
      </c>
      <c r="O425" s="9" t="s">
        <v>34</v>
      </c>
    </row>
    <row r="426" customFormat="false" ht="15" hidden="false" customHeight="false" outlineLevel="0" collapsed="false">
      <c r="A426" s="6" t="s">
        <v>608</v>
      </c>
      <c r="B426" s="6" t="s">
        <v>586</v>
      </c>
      <c r="C426" s="6" t="s">
        <v>609</v>
      </c>
      <c r="D426" s="6" t="s">
        <v>30</v>
      </c>
      <c r="E426" s="7" t="n">
        <v>12.5</v>
      </c>
      <c r="F426" s="7" t="n">
        <v>12.5</v>
      </c>
      <c r="G426" s="6" t="s">
        <v>31</v>
      </c>
      <c r="H426" s="7" t="n">
        <v>10.49</v>
      </c>
      <c r="I426" s="7"/>
      <c r="J426" s="7"/>
      <c r="K426" s="6" t="s">
        <v>32</v>
      </c>
      <c r="L426" s="6" t="s">
        <v>93</v>
      </c>
      <c r="M426" s="8" t="n">
        <f aca="false">IF(H426&lt;E426,(E426-H426)/H426,IF(H426&gt;F426,(F426-H426)/H426,0))</f>
        <v>0.19161105815062</v>
      </c>
      <c r="N426" s="9" t="s">
        <v>34</v>
      </c>
      <c r="O426" s="9" t="s">
        <v>34</v>
      </c>
    </row>
    <row r="427" customFormat="false" ht="15" hidden="false" customHeight="false" outlineLevel="0" collapsed="false">
      <c r="A427" s="6" t="s">
        <v>610</v>
      </c>
      <c r="B427" s="6" t="s">
        <v>586</v>
      </c>
      <c r="C427" s="6" t="s">
        <v>611</v>
      </c>
      <c r="D427" s="6" t="s">
        <v>30</v>
      </c>
      <c r="E427" s="7" t="n">
        <v>12.5</v>
      </c>
      <c r="F427" s="7" t="n">
        <v>12.5</v>
      </c>
      <c r="G427" s="6" t="s">
        <v>31</v>
      </c>
      <c r="H427" s="7" t="n">
        <v>10.49</v>
      </c>
      <c r="I427" s="7"/>
      <c r="J427" s="7"/>
      <c r="K427" s="6" t="s">
        <v>32</v>
      </c>
      <c r="L427" s="6" t="s">
        <v>33</v>
      </c>
      <c r="M427" s="8" t="n">
        <f aca="false">IF(H427&lt;E427,(E427-H427)/H427,IF(H427&gt;F427,(F427-H427)/H427,0))</f>
        <v>0.19161105815062</v>
      </c>
      <c r="N427" s="9" t="s">
        <v>34</v>
      </c>
      <c r="O427" s="9" t="s">
        <v>34</v>
      </c>
    </row>
    <row r="428" customFormat="false" ht="15" hidden="false" customHeight="false" outlineLevel="0" collapsed="false">
      <c r="A428" s="6" t="s">
        <v>612</v>
      </c>
      <c r="B428" s="6" t="s">
        <v>613</v>
      </c>
      <c r="C428" s="6" t="s">
        <v>614</v>
      </c>
      <c r="D428" s="6" t="s">
        <v>153</v>
      </c>
      <c r="E428" s="7" t="n">
        <v>5.18</v>
      </c>
      <c r="F428" s="7" t="n">
        <v>5.18</v>
      </c>
      <c r="G428" s="6" t="s">
        <v>31</v>
      </c>
      <c r="H428" s="7" t="n">
        <v>5.49</v>
      </c>
      <c r="I428" s="7"/>
      <c r="J428" s="7"/>
      <c r="K428" s="6" t="s">
        <v>40</v>
      </c>
      <c r="L428" s="6" t="s">
        <v>33</v>
      </c>
      <c r="M428" s="8" t="n">
        <f aca="false">IF(H428&lt;E428,(E428-H428)/H428,IF(H428&gt;F428,(F428-H428)/H428,0))</f>
        <v>-0.0564663023679418</v>
      </c>
      <c r="N428" s="9" t="s">
        <v>34</v>
      </c>
      <c r="O428" s="9" t="s">
        <v>34</v>
      </c>
    </row>
    <row r="429" customFormat="false" ht="15" hidden="false" customHeight="false" outlineLevel="0" collapsed="false">
      <c r="A429" s="6" t="s">
        <v>615</v>
      </c>
      <c r="B429" s="6" t="s">
        <v>613</v>
      </c>
      <c r="C429" s="6" t="s">
        <v>616</v>
      </c>
      <c r="D429" s="6" t="s">
        <v>277</v>
      </c>
      <c r="E429" s="7" t="n">
        <v>7.2</v>
      </c>
      <c r="F429" s="7" t="n">
        <v>7.2</v>
      </c>
      <c r="G429" s="6" t="s">
        <v>31</v>
      </c>
      <c r="H429" s="7" t="n">
        <v>6.33</v>
      </c>
      <c r="I429" s="7"/>
      <c r="J429" s="7"/>
      <c r="K429" s="6" t="s">
        <v>32</v>
      </c>
      <c r="L429" s="6" t="s">
        <v>33</v>
      </c>
      <c r="M429" s="8" t="n">
        <f aca="false">IF(H429&lt;E429,(E429-H429)/H429,IF(H429&gt;F429,(F429-H429)/H429,0))</f>
        <v>0.137440758293839</v>
      </c>
      <c r="N429" s="9" t="s">
        <v>34</v>
      </c>
      <c r="O429" s="9" t="s">
        <v>34</v>
      </c>
    </row>
    <row r="430" customFormat="false" ht="15" hidden="false" customHeight="false" outlineLevel="0" collapsed="false">
      <c r="A430" s="6" t="s">
        <v>617</v>
      </c>
      <c r="B430" s="6" t="s">
        <v>613</v>
      </c>
      <c r="C430" s="6" t="s">
        <v>618</v>
      </c>
      <c r="D430" s="6" t="s">
        <v>619</v>
      </c>
      <c r="E430" s="7" t="n">
        <v>6.5</v>
      </c>
      <c r="F430" s="7" t="n">
        <v>6.5</v>
      </c>
      <c r="G430" s="6" t="s">
        <v>31</v>
      </c>
      <c r="H430" s="7" t="n">
        <v>3.99</v>
      </c>
      <c r="I430" s="7"/>
      <c r="J430" s="7"/>
      <c r="K430" s="6" t="s">
        <v>32</v>
      </c>
      <c r="L430" s="6" t="s">
        <v>33</v>
      </c>
      <c r="M430" s="8" t="n">
        <f aca="false">IF(H430&lt;E430,(E430-H430)/H430,IF(H430&gt;F430,(F430-H430)/H430,0))</f>
        <v>0.629072681704261</v>
      </c>
      <c r="N430" s="9" t="s">
        <v>34</v>
      </c>
      <c r="O430" s="9" t="s">
        <v>34</v>
      </c>
    </row>
    <row r="431" customFormat="false" ht="15" hidden="false" customHeight="false" outlineLevel="0" collapsed="false">
      <c r="A431" s="6" t="s">
        <v>620</v>
      </c>
      <c r="B431" s="6" t="s">
        <v>613</v>
      </c>
      <c r="C431" s="6" t="s">
        <v>621</v>
      </c>
      <c r="D431" s="6" t="s">
        <v>622</v>
      </c>
      <c r="E431" s="7" t="n">
        <v>5.35</v>
      </c>
      <c r="F431" s="7" t="n">
        <v>5.35</v>
      </c>
      <c r="G431" s="6" t="s">
        <v>147</v>
      </c>
      <c r="H431" s="7" t="n">
        <v>5.4</v>
      </c>
      <c r="I431" s="7"/>
      <c r="J431" s="7"/>
      <c r="K431" s="6" t="s">
        <v>32</v>
      </c>
      <c r="L431" s="6" t="s">
        <v>33</v>
      </c>
      <c r="M431" s="8" t="n">
        <f aca="false">IF(H431&lt;E431,(E431-H431)/H431,IF(H431&gt;F431,(F431-H431)/H431,0))</f>
        <v>-0.00925925925925939</v>
      </c>
      <c r="N431" s="9" t="s">
        <v>34</v>
      </c>
      <c r="O431" s="9" t="s">
        <v>34</v>
      </c>
    </row>
    <row r="432" customFormat="false" ht="15" hidden="false" customHeight="false" outlineLevel="0" collapsed="false">
      <c r="A432" s="6" t="s">
        <v>623</v>
      </c>
      <c r="B432" s="6" t="s">
        <v>613</v>
      </c>
      <c r="C432" s="6" t="s">
        <v>624</v>
      </c>
      <c r="D432" s="6" t="s">
        <v>622</v>
      </c>
      <c r="E432" s="7" t="n">
        <v>8.55</v>
      </c>
      <c r="F432" s="7" t="n">
        <v>8.98</v>
      </c>
      <c r="G432" s="6" t="s">
        <v>31</v>
      </c>
      <c r="H432" s="7" t="n">
        <v>6.78</v>
      </c>
      <c r="I432" s="7"/>
      <c r="J432" s="7"/>
      <c r="K432" s="6" t="s">
        <v>32</v>
      </c>
      <c r="L432" s="6" t="s">
        <v>33</v>
      </c>
      <c r="M432" s="8" t="n">
        <f aca="false">IF(H432&lt;E432,(E432-H432)/H432,IF(H432&gt;F432,(F432-H432)/H432,0))</f>
        <v>0.261061946902655</v>
      </c>
      <c r="N432" s="9" t="s">
        <v>34</v>
      </c>
      <c r="O432" s="9" t="s">
        <v>34</v>
      </c>
    </row>
    <row r="433" customFormat="false" ht="15" hidden="false" customHeight="false" outlineLevel="0" collapsed="false">
      <c r="A433" s="6" t="s">
        <v>625</v>
      </c>
      <c r="B433" s="6" t="s">
        <v>613</v>
      </c>
      <c r="C433" s="6" t="s">
        <v>626</v>
      </c>
      <c r="D433" s="6" t="s">
        <v>277</v>
      </c>
      <c r="E433" s="7" t="n">
        <v>7.5</v>
      </c>
      <c r="F433" s="7" t="n">
        <v>7.5</v>
      </c>
      <c r="G433" s="6" t="s">
        <v>31</v>
      </c>
      <c r="H433" s="7" t="n">
        <v>7.65</v>
      </c>
      <c r="I433" s="7"/>
      <c r="J433" s="7"/>
      <c r="K433" s="6" t="s">
        <v>40</v>
      </c>
      <c r="L433" s="6" t="s">
        <v>33</v>
      </c>
      <c r="M433" s="8" t="n">
        <f aca="false">IF(H433&lt;E433,(E433-H433)/H433,IF(H433&gt;F433,(F433-H433)/H433,0))</f>
        <v>-0.0196078431372549</v>
      </c>
      <c r="N433" s="9" t="s">
        <v>34</v>
      </c>
      <c r="O433" s="9" t="s">
        <v>34</v>
      </c>
    </row>
    <row r="434" customFormat="false" ht="15" hidden="false" customHeight="false" outlineLevel="0" collapsed="false">
      <c r="A434" s="6" t="s">
        <v>627</v>
      </c>
      <c r="B434" s="6" t="s">
        <v>613</v>
      </c>
      <c r="C434" s="6" t="s">
        <v>628</v>
      </c>
      <c r="D434" s="6" t="s">
        <v>277</v>
      </c>
      <c r="E434" s="7" t="n">
        <v>7.99</v>
      </c>
      <c r="F434" s="7" t="n">
        <v>7.99</v>
      </c>
      <c r="G434" s="6" t="s">
        <v>31</v>
      </c>
      <c r="H434" s="7" t="n">
        <v>6.09</v>
      </c>
      <c r="I434" s="7"/>
      <c r="J434" s="7"/>
      <c r="K434" s="6" t="s">
        <v>32</v>
      </c>
      <c r="L434" s="6" t="s">
        <v>33</v>
      </c>
      <c r="M434" s="8" t="n">
        <f aca="false">IF(H434&lt;E434,(E434-H434)/H434,IF(H434&gt;F434,(F434-H434)/H434,0))</f>
        <v>0.311986863711002</v>
      </c>
      <c r="N434" s="9" t="s">
        <v>34</v>
      </c>
      <c r="O434" s="9" t="s">
        <v>34</v>
      </c>
    </row>
    <row r="435" customFormat="false" ht="15" hidden="false" customHeight="false" outlineLevel="0" collapsed="false">
      <c r="A435" s="6" t="s">
        <v>629</v>
      </c>
      <c r="B435" s="6" t="s">
        <v>613</v>
      </c>
      <c r="C435" s="6" t="s">
        <v>630</v>
      </c>
      <c r="D435" s="6" t="s">
        <v>30</v>
      </c>
      <c r="E435" s="7" t="n">
        <v>6.9</v>
      </c>
      <c r="F435" s="7" t="n">
        <v>6.9</v>
      </c>
      <c r="G435" s="6" t="s">
        <v>31</v>
      </c>
      <c r="H435" s="7" t="n">
        <v>6.4</v>
      </c>
      <c r="I435" s="7"/>
      <c r="J435" s="7"/>
      <c r="K435" s="6" t="s">
        <v>32</v>
      </c>
      <c r="L435" s="6" t="s">
        <v>33</v>
      </c>
      <c r="M435" s="8" t="n">
        <f aca="false">IF(H435&lt;E435,(E435-H435)/H435,IF(H435&gt;F435,(F435-H435)/H435,0))</f>
        <v>0.078125</v>
      </c>
      <c r="N435" s="9" t="s">
        <v>34</v>
      </c>
      <c r="O435" s="9" t="s">
        <v>34</v>
      </c>
    </row>
    <row r="436" customFormat="false" ht="15" hidden="false" customHeight="false" outlineLevel="0" collapsed="false">
      <c r="A436" s="6" t="s">
        <v>631</v>
      </c>
      <c r="B436" s="6" t="s">
        <v>613</v>
      </c>
      <c r="C436" s="6" t="s">
        <v>632</v>
      </c>
      <c r="D436" s="6" t="s">
        <v>622</v>
      </c>
      <c r="E436" s="7" t="n">
        <v>9</v>
      </c>
      <c r="F436" s="7" t="n">
        <v>9</v>
      </c>
      <c r="G436" s="6" t="s">
        <v>31</v>
      </c>
      <c r="H436" s="7" t="n">
        <v>7.79</v>
      </c>
      <c r="I436" s="7"/>
      <c r="J436" s="7"/>
      <c r="K436" s="6" t="s">
        <v>32</v>
      </c>
      <c r="L436" s="6" t="s">
        <v>33</v>
      </c>
      <c r="M436" s="8" t="n">
        <f aca="false">IF(H436&lt;E436,(E436-H436)/H436,IF(H436&gt;F436,(F436-H436)/H436,0))</f>
        <v>0.155327342747112</v>
      </c>
      <c r="N436" s="9" t="s">
        <v>34</v>
      </c>
      <c r="O436" s="9" t="s">
        <v>34</v>
      </c>
    </row>
    <row r="437" customFormat="false" ht="15" hidden="false" customHeight="false" outlineLevel="0" collapsed="false">
      <c r="A437" s="6" t="s">
        <v>633</v>
      </c>
      <c r="B437" s="6" t="s">
        <v>613</v>
      </c>
      <c r="C437" s="6" t="s">
        <v>634</v>
      </c>
      <c r="D437" s="6" t="s">
        <v>622</v>
      </c>
      <c r="E437" s="7" t="n">
        <v>6.3</v>
      </c>
      <c r="F437" s="7" t="n">
        <v>6.3</v>
      </c>
      <c r="G437" s="6" t="s">
        <v>31</v>
      </c>
      <c r="H437" s="7" t="n">
        <v>6.59</v>
      </c>
      <c r="I437" s="7"/>
      <c r="J437" s="7"/>
      <c r="K437" s="6" t="s">
        <v>32</v>
      </c>
      <c r="L437" s="6" t="s">
        <v>33</v>
      </c>
      <c r="M437" s="8" t="n">
        <f aca="false">IF(H437&lt;E437,(E437-H437)/H437,IF(H437&gt;F437,(F437-H437)/H437,0))</f>
        <v>-0.0440060698027314</v>
      </c>
      <c r="N437" s="9" t="s">
        <v>34</v>
      </c>
      <c r="O437" s="9" t="s">
        <v>34</v>
      </c>
    </row>
    <row r="438" customFormat="false" ht="15" hidden="false" customHeight="false" outlineLevel="0" collapsed="false">
      <c r="A438" s="6" t="s">
        <v>635</v>
      </c>
      <c r="B438" s="6" t="s">
        <v>636</v>
      </c>
      <c r="C438" s="6" t="s">
        <v>637</v>
      </c>
      <c r="D438" s="6" t="s">
        <v>423</v>
      </c>
      <c r="E438" s="7" t="n">
        <v>7.5</v>
      </c>
      <c r="F438" s="7" t="n">
        <v>7.5</v>
      </c>
      <c r="G438" s="6" t="s">
        <v>31</v>
      </c>
      <c r="H438" s="7" t="n">
        <v>5.99</v>
      </c>
      <c r="I438" s="7"/>
      <c r="J438" s="7"/>
      <c r="K438" s="6" t="s">
        <v>32</v>
      </c>
      <c r="L438" s="6" t="s">
        <v>93</v>
      </c>
      <c r="M438" s="8" t="n">
        <f aca="false">IF(H438&lt;E438,(E438-H438)/H438,IF(H438&gt;F438,(F438-H438)/H438,0))</f>
        <v>0.252086811352254</v>
      </c>
      <c r="N438" s="9" t="s">
        <v>34</v>
      </c>
      <c r="O438" s="9" t="s">
        <v>34</v>
      </c>
    </row>
    <row r="439" customFormat="false" ht="15" hidden="false" customHeight="false" outlineLevel="0" collapsed="false">
      <c r="A439" s="6" t="s">
        <v>638</v>
      </c>
      <c r="B439" s="6" t="s">
        <v>636</v>
      </c>
      <c r="C439" s="6" t="s">
        <v>639</v>
      </c>
      <c r="D439" s="6" t="s">
        <v>277</v>
      </c>
      <c r="E439" s="7" t="n">
        <v>5.89</v>
      </c>
      <c r="F439" s="7" t="n">
        <v>5.89</v>
      </c>
      <c r="G439" s="6" t="s">
        <v>31</v>
      </c>
      <c r="H439" s="7" t="n">
        <v>4.59</v>
      </c>
      <c r="I439" s="7"/>
      <c r="J439" s="7"/>
      <c r="K439" s="6" t="s">
        <v>32</v>
      </c>
      <c r="L439" s="6" t="s">
        <v>93</v>
      </c>
      <c r="M439" s="8" t="n">
        <f aca="false">IF(H439&lt;E439,(E439-H439)/H439,IF(H439&gt;F439,(F439-H439)/H439,0))</f>
        <v>0.28322440087146</v>
      </c>
      <c r="N439" s="9" t="s">
        <v>34</v>
      </c>
      <c r="O439" s="9" t="s">
        <v>34</v>
      </c>
    </row>
    <row r="440" customFormat="false" ht="15" hidden="false" customHeight="false" outlineLevel="0" collapsed="false">
      <c r="A440" s="6" t="s">
        <v>640</v>
      </c>
      <c r="B440" s="6" t="s">
        <v>636</v>
      </c>
      <c r="C440" s="6" t="s">
        <v>641</v>
      </c>
      <c r="D440" s="6" t="s">
        <v>622</v>
      </c>
      <c r="E440" s="7" t="n">
        <v>5.89</v>
      </c>
      <c r="F440" s="7" t="n">
        <v>5.89</v>
      </c>
      <c r="G440" s="6" t="s">
        <v>31</v>
      </c>
      <c r="H440" s="7" t="n">
        <v>2.54</v>
      </c>
      <c r="I440" s="7"/>
      <c r="J440" s="7"/>
      <c r="K440" s="6" t="s">
        <v>32</v>
      </c>
      <c r="L440" s="6" t="s">
        <v>93</v>
      </c>
      <c r="M440" s="8" t="n">
        <f aca="false">IF(H440&lt;E440,(E440-H440)/H440,IF(H440&gt;F440,(F440-H440)/H440,0))</f>
        <v>1.31889763779528</v>
      </c>
      <c r="N440" s="9" t="s">
        <v>34</v>
      </c>
      <c r="O440" s="9" t="s">
        <v>34</v>
      </c>
    </row>
    <row r="441" customFormat="false" ht="15" hidden="false" customHeight="false" outlineLevel="0" collapsed="false">
      <c r="A441" s="6" t="s">
        <v>640</v>
      </c>
      <c r="B441" s="6" t="s">
        <v>636</v>
      </c>
      <c r="C441" s="6" t="s">
        <v>641</v>
      </c>
      <c r="D441" s="6" t="s">
        <v>622</v>
      </c>
      <c r="E441" s="7" t="n">
        <v>5.89</v>
      </c>
      <c r="F441" s="7" t="n">
        <v>5.89</v>
      </c>
      <c r="G441" s="6" t="s">
        <v>39</v>
      </c>
      <c r="H441" s="7" t="n">
        <v>4.76</v>
      </c>
      <c r="I441" s="7"/>
      <c r="J441" s="7"/>
      <c r="K441" s="6" t="s">
        <v>40</v>
      </c>
      <c r="L441" s="6" t="s">
        <v>93</v>
      </c>
      <c r="M441" s="8" t="n">
        <f aca="false">IF(H441&lt;E441,(E441-H441)/H441,IF(H441&gt;F441,(F441-H441)/H441,0))</f>
        <v>0.237394957983193</v>
      </c>
      <c r="N441" s="9" t="s">
        <v>34</v>
      </c>
      <c r="O441" s="9" t="s">
        <v>34</v>
      </c>
    </row>
    <row r="442" customFormat="false" ht="15" hidden="false" customHeight="false" outlineLevel="0" collapsed="false">
      <c r="A442" s="6" t="s">
        <v>642</v>
      </c>
      <c r="B442" s="6" t="s">
        <v>636</v>
      </c>
      <c r="C442" s="6" t="s">
        <v>643</v>
      </c>
      <c r="D442" s="6" t="s">
        <v>426</v>
      </c>
      <c r="E442" s="7" t="n">
        <v>3.95</v>
      </c>
      <c r="F442" s="7" t="n">
        <v>3.95</v>
      </c>
      <c r="G442" s="6" t="s">
        <v>31</v>
      </c>
      <c r="H442" s="7" t="n">
        <v>4.59</v>
      </c>
      <c r="I442" s="7"/>
      <c r="J442" s="7"/>
      <c r="K442" s="6" t="s">
        <v>32</v>
      </c>
      <c r="L442" s="6" t="s">
        <v>93</v>
      </c>
      <c r="M442" s="8" t="n">
        <f aca="false">IF(H442&lt;E442,(E442-H442)/H442,IF(H442&gt;F442,(F442-H442)/H442,0))</f>
        <v>-0.139433551198257</v>
      </c>
      <c r="N442" s="9" t="s">
        <v>34</v>
      </c>
      <c r="O442" s="9" t="s">
        <v>34</v>
      </c>
    </row>
    <row r="443" customFormat="false" ht="15" hidden="false" customHeight="false" outlineLevel="0" collapsed="false">
      <c r="A443" s="6" t="s">
        <v>644</v>
      </c>
      <c r="B443" s="6" t="s">
        <v>636</v>
      </c>
      <c r="C443" s="6" t="s">
        <v>645</v>
      </c>
      <c r="D443" s="6" t="s">
        <v>646</v>
      </c>
      <c r="E443" s="7" t="n">
        <v>2.95</v>
      </c>
      <c r="F443" s="7" t="n">
        <v>2.95</v>
      </c>
      <c r="G443" s="6" t="s">
        <v>31</v>
      </c>
      <c r="H443" s="7" t="n">
        <v>2.95</v>
      </c>
      <c r="I443" s="7"/>
      <c r="J443" s="7"/>
      <c r="K443" s="6" t="s">
        <v>32</v>
      </c>
      <c r="L443" s="6" t="s">
        <v>93</v>
      </c>
      <c r="M443" s="8" t="n">
        <f aca="false">IF(H443&lt;E443,(E443-H443)/H443,IF(H443&gt;F443,(F443-H443)/H443,0))</f>
        <v>0</v>
      </c>
      <c r="N443" s="9" t="s">
        <v>34</v>
      </c>
      <c r="O443" s="9" t="s">
        <v>34</v>
      </c>
    </row>
    <row r="444" customFormat="false" ht="15" hidden="false" customHeight="false" outlineLevel="0" collapsed="false">
      <c r="A444" s="6" t="s">
        <v>647</v>
      </c>
      <c r="B444" s="6" t="s">
        <v>636</v>
      </c>
      <c r="C444" s="6" t="s">
        <v>648</v>
      </c>
      <c r="D444" s="6" t="s">
        <v>649</v>
      </c>
      <c r="E444" s="7" t="n">
        <v>13.95</v>
      </c>
      <c r="F444" s="7" t="n">
        <v>13.95</v>
      </c>
      <c r="G444" s="6" t="s">
        <v>31</v>
      </c>
      <c r="H444" s="7" t="n">
        <v>6.99</v>
      </c>
      <c r="I444" s="7"/>
      <c r="J444" s="7"/>
      <c r="K444" s="6" t="s">
        <v>32</v>
      </c>
      <c r="L444" s="6" t="s">
        <v>93</v>
      </c>
      <c r="M444" s="8" t="n">
        <f aca="false">IF(H444&lt;E444,(E444-H444)/H444,IF(H444&gt;F444,(F444-H444)/H444,0))</f>
        <v>0.995708154506438</v>
      </c>
      <c r="N444" s="9" t="s">
        <v>34</v>
      </c>
      <c r="O444" s="9" t="s">
        <v>34</v>
      </c>
    </row>
    <row r="445" customFormat="false" ht="15" hidden="false" customHeight="false" outlineLevel="0" collapsed="false">
      <c r="A445" s="6" t="s">
        <v>650</v>
      </c>
      <c r="B445" s="6" t="s">
        <v>636</v>
      </c>
      <c r="C445" s="6" t="s">
        <v>651</v>
      </c>
      <c r="D445" s="6" t="s">
        <v>649</v>
      </c>
      <c r="E445" s="7" t="n">
        <v>14.9</v>
      </c>
      <c r="F445" s="7" t="n">
        <v>14.9</v>
      </c>
      <c r="G445" s="6" t="s">
        <v>31</v>
      </c>
      <c r="H445" s="7" t="n">
        <v>6.99</v>
      </c>
      <c r="I445" s="7"/>
      <c r="J445" s="7"/>
      <c r="K445" s="6" t="s">
        <v>32</v>
      </c>
      <c r="L445" s="6" t="s">
        <v>93</v>
      </c>
      <c r="M445" s="8" t="n">
        <f aca="false">IF(H445&lt;E445,(E445-H445)/H445,IF(H445&gt;F445,(F445-H445)/H445,0))</f>
        <v>1.13161659513591</v>
      </c>
      <c r="N445" s="9" t="s">
        <v>34</v>
      </c>
      <c r="O445" s="9" t="s">
        <v>34</v>
      </c>
    </row>
    <row r="446" customFormat="false" ht="15" hidden="false" customHeight="false" outlineLevel="0" collapsed="false">
      <c r="A446" s="6" t="s">
        <v>652</v>
      </c>
      <c r="B446" s="6" t="s">
        <v>636</v>
      </c>
      <c r="C446" s="6" t="s">
        <v>653</v>
      </c>
      <c r="D446" s="6" t="s">
        <v>423</v>
      </c>
      <c r="E446" s="7" t="n">
        <v>6.9</v>
      </c>
      <c r="F446" s="7" t="n">
        <v>6.9</v>
      </c>
      <c r="G446" s="6" t="s">
        <v>31</v>
      </c>
      <c r="H446" s="7" t="n">
        <v>5.18</v>
      </c>
      <c r="I446" s="7"/>
      <c r="J446" s="7"/>
      <c r="K446" s="6" t="s">
        <v>32</v>
      </c>
      <c r="L446" s="6" t="s">
        <v>93</v>
      </c>
      <c r="M446" s="8" t="n">
        <f aca="false">IF(H446&lt;E446,(E446-H446)/H446,IF(H446&gt;F446,(F446-H446)/H446,0))</f>
        <v>0.332046332046332</v>
      </c>
      <c r="N446" s="9" t="s">
        <v>34</v>
      </c>
      <c r="O446" s="9" t="s">
        <v>34</v>
      </c>
    </row>
    <row r="447" customFormat="false" ht="15" hidden="false" customHeight="false" outlineLevel="0" collapsed="false">
      <c r="A447" s="6" t="s">
        <v>654</v>
      </c>
      <c r="B447" s="6" t="s">
        <v>655</v>
      </c>
      <c r="C447" s="6" t="s">
        <v>656</v>
      </c>
      <c r="D447" s="6" t="s">
        <v>111</v>
      </c>
      <c r="E447" s="7" t="n">
        <v>6.69</v>
      </c>
      <c r="F447" s="7" t="n">
        <v>6.69</v>
      </c>
      <c r="G447" s="6" t="s">
        <v>31</v>
      </c>
      <c r="H447" s="7" t="n">
        <v>6.69</v>
      </c>
      <c r="I447" s="7"/>
      <c r="J447" s="7"/>
      <c r="K447" s="6" t="s">
        <v>32</v>
      </c>
      <c r="L447" s="6" t="s">
        <v>93</v>
      </c>
      <c r="M447" s="8" t="n">
        <f aca="false">IF(H447&lt;E447,(E447-H447)/H447,IF(H447&gt;F447,(F447-H447)/H447,0))</f>
        <v>0</v>
      </c>
      <c r="N447" s="9" t="s">
        <v>34</v>
      </c>
      <c r="O447" s="9" t="s">
        <v>34</v>
      </c>
    </row>
    <row r="448" customFormat="false" ht="15" hidden="false" customHeight="false" outlineLevel="0" collapsed="false">
      <c r="A448" s="6" t="s">
        <v>657</v>
      </c>
      <c r="B448" s="6" t="s">
        <v>655</v>
      </c>
      <c r="C448" s="6" t="s">
        <v>658</v>
      </c>
      <c r="D448" s="6" t="s">
        <v>30</v>
      </c>
      <c r="E448" s="7" t="n">
        <v>4.99</v>
      </c>
      <c r="F448" s="7" t="n">
        <v>4.99</v>
      </c>
      <c r="G448" s="6" t="s">
        <v>31</v>
      </c>
      <c r="H448" s="7" t="n">
        <v>4.59</v>
      </c>
      <c r="I448" s="7"/>
      <c r="J448" s="7"/>
      <c r="K448" s="6" t="s">
        <v>32</v>
      </c>
      <c r="L448" s="6" t="s">
        <v>33</v>
      </c>
      <c r="M448" s="8" t="n">
        <f aca="false">IF(H448&lt;E448,(E448-H448)/H448,IF(H448&gt;F448,(F448-H448)/H448,0))</f>
        <v>0.0871459694989108</v>
      </c>
      <c r="N448" s="9" t="s">
        <v>34</v>
      </c>
      <c r="O448" s="9" t="s">
        <v>34</v>
      </c>
    </row>
    <row r="449" customFormat="false" ht="15" hidden="false" customHeight="false" outlineLevel="0" collapsed="false">
      <c r="A449" s="6" t="s">
        <v>659</v>
      </c>
      <c r="B449" s="6" t="s">
        <v>655</v>
      </c>
      <c r="C449" s="6" t="s">
        <v>660</v>
      </c>
      <c r="D449" s="6" t="s">
        <v>30</v>
      </c>
      <c r="E449" s="7" t="n">
        <v>13.99</v>
      </c>
      <c r="F449" s="7" t="n">
        <v>13.99</v>
      </c>
      <c r="G449" s="6" t="s">
        <v>31</v>
      </c>
      <c r="H449" s="7" t="n">
        <v>13.49</v>
      </c>
      <c r="I449" s="7"/>
      <c r="J449" s="7"/>
      <c r="K449" s="6" t="s">
        <v>32</v>
      </c>
      <c r="L449" s="6" t="s">
        <v>33</v>
      </c>
      <c r="M449" s="8" t="n">
        <f aca="false">IF(H449&lt;E449,(E449-H449)/H449,IF(H449&gt;F449,(F449-H449)/H449,0))</f>
        <v>0.0370644922164566</v>
      </c>
      <c r="N449" s="9" t="s">
        <v>34</v>
      </c>
      <c r="O449" s="9" t="s">
        <v>34</v>
      </c>
    </row>
    <row r="450" customFormat="false" ht="15" hidden="false" customHeight="false" outlineLevel="0" collapsed="false">
      <c r="A450" s="6" t="s">
        <v>661</v>
      </c>
      <c r="B450" s="6" t="s">
        <v>655</v>
      </c>
      <c r="C450" s="6" t="s">
        <v>662</v>
      </c>
      <c r="D450" s="6" t="s">
        <v>30</v>
      </c>
      <c r="E450" s="7" t="n">
        <v>5.5</v>
      </c>
      <c r="F450" s="7" t="n">
        <v>7.4</v>
      </c>
      <c r="G450" s="6" t="s">
        <v>31</v>
      </c>
      <c r="H450" s="7" t="n">
        <v>6.49</v>
      </c>
      <c r="I450" s="7"/>
      <c r="J450" s="7"/>
      <c r="K450" s="6" t="s">
        <v>32</v>
      </c>
      <c r="L450" s="6" t="s">
        <v>33</v>
      </c>
      <c r="M450" s="8" t="n">
        <f aca="false">IF(H450&lt;E450,(E450-H450)/H450,IF(H450&gt;F450,(F450-H450)/H450,0))</f>
        <v>0</v>
      </c>
      <c r="N450" s="9" t="s">
        <v>34</v>
      </c>
      <c r="O450" s="9" t="s">
        <v>34</v>
      </c>
    </row>
    <row r="451" customFormat="false" ht="15" hidden="false" customHeight="false" outlineLevel="0" collapsed="false">
      <c r="A451" s="6" t="s">
        <v>663</v>
      </c>
      <c r="B451" s="6" t="s">
        <v>655</v>
      </c>
      <c r="C451" s="6" t="s">
        <v>664</v>
      </c>
      <c r="D451" s="6" t="s">
        <v>30</v>
      </c>
      <c r="E451" s="7" t="n">
        <v>3.79</v>
      </c>
      <c r="F451" s="7" t="n">
        <v>4.5</v>
      </c>
      <c r="G451" s="6" t="s">
        <v>31</v>
      </c>
      <c r="H451" s="7" t="n">
        <v>3.99</v>
      </c>
      <c r="I451" s="7"/>
      <c r="J451" s="7"/>
      <c r="K451" s="6" t="s">
        <v>32</v>
      </c>
      <c r="L451" s="6" t="s">
        <v>33</v>
      </c>
      <c r="M451" s="8" t="n">
        <f aca="false">IF(H451&lt;E451,(E451-H451)/H451,IF(H451&gt;F451,(F451-H451)/H451,0))</f>
        <v>0</v>
      </c>
      <c r="N451" s="9" t="s">
        <v>34</v>
      </c>
      <c r="O451" s="9" t="s">
        <v>34</v>
      </c>
    </row>
    <row r="452" customFormat="false" ht="15" hidden="false" customHeight="false" outlineLevel="0" collapsed="false">
      <c r="A452" s="6" t="s">
        <v>665</v>
      </c>
      <c r="B452" s="6" t="s">
        <v>666</v>
      </c>
      <c r="C452" s="6" t="s">
        <v>667</v>
      </c>
      <c r="D452" s="6" t="s">
        <v>575</v>
      </c>
      <c r="E452" s="7" t="n">
        <v>5</v>
      </c>
      <c r="F452" s="7" t="n">
        <v>5</v>
      </c>
      <c r="G452" s="6" t="s">
        <v>147</v>
      </c>
      <c r="H452" s="7" t="n">
        <v>7.9</v>
      </c>
      <c r="I452" s="7"/>
      <c r="J452" s="7"/>
      <c r="K452" s="6" t="s">
        <v>32</v>
      </c>
      <c r="L452" s="6" t="s">
        <v>33</v>
      </c>
      <c r="M452" s="8" t="n">
        <f aca="false">IF(H452&lt;E452,(E452-H452)/H452,IF(H452&gt;F452,(F452-H452)/H452,0))</f>
        <v>-0.367088607594937</v>
      </c>
      <c r="N452" s="9" t="s">
        <v>34</v>
      </c>
      <c r="O452" s="9" t="s">
        <v>34</v>
      </c>
    </row>
    <row r="453" customFormat="false" ht="15" hidden="false" customHeight="false" outlineLevel="0" collapsed="false">
      <c r="A453" s="6" t="s">
        <v>668</v>
      </c>
      <c r="B453" s="6" t="s">
        <v>669</v>
      </c>
      <c r="C453" s="6" t="s">
        <v>670</v>
      </c>
      <c r="D453" s="6" t="s">
        <v>38</v>
      </c>
      <c r="E453" s="7" t="n">
        <v>6.9</v>
      </c>
      <c r="F453" s="7" t="n">
        <v>6.9</v>
      </c>
      <c r="G453" s="6" t="s">
        <v>31</v>
      </c>
      <c r="H453" s="7" t="n">
        <v>6.49</v>
      </c>
      <c r="I453" s="7"/>
      <c r="J453" s="7"/>
      <c r="K453" s="6" t="s">
        <v>32</v>
      </c>
      <c r="L453" s="6" t="s">
        <v>93</v>
      </c>
      <c r="M453" s="8" t="n">
        <f aca="false">IF(H453&lt;E453,(E453-H453)/H453,IF(H453&gt;F453,(F453-H453)/H453,0))</f>
        <v>0.0631741140215717</v>
      </c>
      <c r="N453" s="9" t="s">
        <v>34</v>
      </c>
      <c r="O453" s="9" t="s">
        <v>34</v>
      </c>
    </row>
    <row r="454" customFormat="false" ht="15" hidden="false" customHeight="false" outlineLevel="0" collapsed="false">
      <c r="A454" s="6" t="s">
        <v>671</v>
      </c>
      <c r="B454" s="6" t="s">
        <v>669</v>
      </c>
      <c r="C454" s="6" t="s">
        <v>672</v>
      </c>
      <c r="D454" s="6" t="s">
        <v>38</v>
      </c>
      <c r="E454" s="7" t="n">
        <v>6.9</v>
      </c>
      <c r="F454" s="7" t="n">
        <v>6.9</v>
      </c>
      <c r="G454" s="6" t="s">
        <v>31</v>
      </c>
      <c r="H454" s="7" t="n">
        <v>5.99</v>
      </c>
      <c r="I454" s="7"/>
      <c r="J454" s="7"/>
      <c r="K454" s="6" t="s">
        <v>32</v>
      </c>
      <c r="L454" s="6" t="s">
        <v>93</v>
      </c>
      <c r="M454" s="8" t="n">
        <f aca="false">IF(H454&lt;E454,(E454-H454)/H454,IF(H454&gt;F454,(F454-H454)/H454,0))</f>
        <v>0.151919866444074</v>
      </c>
      <c r="N454" s="9" t="s">
        <v>34</v>
      </c>
      <c r="O454" s="9" t="s">
        <v>34</v>
      </c>
    </row>
    <row r="455" customFormat="false" ht="15" hidden="false" customHeight="false" outlineLevel="0" collapsed="false">
      <c r="A455" s="6" t="s">
        <v>673</v>
      </c>
      <c r="B455" s="6" t="s">
        <v>669</v>
      </c>
      <c r="C455" s="6" t="s">
        <v>674</v>
      </c>
      <c r="D455" s="6" t="s">
        <v>38</v>
      </c>
      <c r="E455" s="7" t="n">
        <v>8.5</v>
      </c>
      <c r="F455" s="7" t="n">
        <v>8.5</v>
      </c>
      <c r="G455" s="6" t="s">
        <v>31</v>
      </c>
      <c r="H455" s="7" t="n">
        <v>7.1</v>
      </c>
      <c r="I455" s="7"/>
      <c r="J455" s="7"/>
      <c r="K455" s="6" t="s">
        <v>32</v>
      </c>
      <c r="L455" s="6" t="s">
        <v>93</v>
      </c>
      <c r="M455" s="8" t="n">
        <f aca="false">IF(H455&lt;E455,(E455-H455)/H455,IF(H455&gt;F455,(F455-H455)/H455,0))</f>
        <v>0.197183098591549</v>
      </c>
      <c r="N455" s="9" t="s">
        <v>34</v>
      </c>
      <c r="O455" s="9" t="s">
        <v>34</v>
      </c>
    </row>
    <row r="456" customFormat="false" ht="15" hidden="false" customHeight="false" outlineLevel="0" collapsed="false">
      <c r="A456" s="6" t="s">
        <v>675</v>
      </c>
      <c r="B456" s="6" t="s">
        <v>669</v>
      </c>
      <c r="C456" s="6" t="s">
        <v>676</v>
      </c>
      <c r="D456" s="6" t="s">
        <v>52</v>
      </c>
      <c r="E456" s="7" t="n">
        <v>8.5</v>
      </c>
      <c r="F456" s="7" t="n">
        <v>8.5</v>
      </c>
      <c r="G456" s="6" t="s">
        <v>31</v>
      </c>
      <c r="H456" s="7" t="n">
        <v>7.1</v>
      </c>
      <c r="I456" s="7"/>
      <c r="J456" s="7"/>
      <c r="K456" s="6" t="s">
        <v>32</v>
      </c>
      <c r="L456" s="6" t="s">
        <v>93</v>
      </c>
      <c r="M456" s="8" t="n">
        <f aca="false">IF(H456&lt;E456,(E456-H456)/H456,IF(H456&gt;F456,(F456-H456)/H456,0))</f>
        <v>0.197183098591549</v>
      </c>
      <c r="N456" s="9" t="s">
        <v>34</v>
      </c>
      <c r="O456" s="9" t="s">
        <v>34</v>
      </c>
    </row>
    <row r="457" customFormat="false" ht="15" hidden="false" customHeight="false" outlineLevel="0" collapsed="false">
      <c r="A457" s="6" t="s">
        <v>677</v>
      </c>
      <c r="B457" s="6" t="s">
        <v>678</v>
      </c>
      <c r="C457" s="6" t="s">
        <v>679</v>
      </c>
      <c r="D457" s="6" t="s">
        <v>30</v>
      </c>
      <c r="E457" s="7" t="n">
        <v>6.95</v>
      </c>
      <c r="F457" s="7" t="n">
        <v>6.95</v>
      </c>
      <c r="G457" s="6" t="s">
        <v>31</v>
      </c>
      <c r="H457" s="7" t="n">
        <v>6.9</v>
      </c>
      <c r="I457" s="7"/>
      <c r="J457" s="7"/>
      <c r="K457" s="6" t="s">
        <v>32</v>
      </c>
      <c r="L457" s="6" t="s">
        <v>93</v>
      </c>
      <c r="M457" s="8" t="n">
        <f aca="false">IF(H457&lt;E457,(E457-H457)/H457,IF(H457&gt;F457,(F457-H457)/H457,0))</f>
        <v>0.00724637681159418</v>
      </c>
      <c r="N457" s="9" t="s">
        <v>34</v>
      </c>
      <c r="O457" s="9" t="s">
        <v>34</v>
      </c>
    </row>
    <row r="458" customFormat="false" ht="15" hidden="false" customHeight="false" outlineLevel="0" collapsed="false">
      <c r="A458" s="6" t="s">
        <v>680</v>
      </c>
      <c r="B458" s="6" t="s">
        <v>681</v>
      </c>
      <c r="C458" s="6" t="s">
        <v>682</v>
      </c>
      <c r="D458" s="6" t="s">
        <v>38</v>
      </c>
      <c r="E458" s="7" t="n">
        <v>149.9</v>
      </c>
      <c r="F458" s="7" t="n">
        <v>155</v>
      </c>
      <c r="G458" s="6" t="s">
        <v>147</v>
      </c>
      <c r="H458" s="7" t="n">
        <v>139</v>
      </c>
      <c r="I458" s="7" t="n">
        <v>139</v>
      </c>
      <c r="J458" s="7" t="n">
        <v>143</v>
      </c>
      <c r="K458" s="6" t="s">
        <v>32</v>
      </c>
      <c r="L458" s="6" t="s">
        <v>33</v>
      </c>
      <c r="M458" s="8" t="n">
        <f aca="false">IF(H458&lt;E458,(E458-H458)/H458,IF(H458&gt;F458,(F458-H458)/H458,0))</f>
        <v>0.0784172661870504</v>
      </c>
      <c r="N458" s="9" t="s">
        <v>34</v>
      </c>
      <c r="O458" s="9" t="s">
        <v>34</v>
      </c>
    </row>
    <row r="459" customFormat="false" ht="15" hidden="false" customHeight="false" outlineLevel="0" collapsed="false">
      <c r="A459" s="6" t="s">
        <v>683</v>
      </c>
      <c r="B459" s="6" t="s">
        <v>684</v>
      </c>
      <c r="C459" s="6" t="s">
        <v>685</v>
      </c>
      <c r="D459" s="6" t="s">
        <v>30</v>
      </c>
      <c r="E459" s="7" t="n">
        <v>165</v>
      </c>
      <c r="F459" s="7" t="n">
        <v>175</v>
      </c>
      <c r="G459" s="6" t="s">
        <v>147</v>
      </c>
      <c r="H459" s="7" t="n">
        <v>140</v>
      </c>
      <c r="I459" s="7" t="n">
        <v>140</v>
      </c>
      <c r="J459" s="7" t="n">
        <v>165</v>
      </c>
      <c r="K459" s="6" t="s">
        <v>32</v>
      </c>
      <c r="L459" s="6" t="s">
        <v>33</v>
      </c>
      <c r="M459" s="8" t="n">
        <f aca="false">IF(H459&lt;E459,(E459-H459)/H459,IF(H459&gt;F459,(F459-H459)/H459,0))</f>
        <v>0.178571428571429</v>
      </c>
      <c r="N459" s="9" t="s">
        <v>34</v>
      </c>
      <c r="O459" s="9" t="s">
        <v>34</v>
      </c>
    </row>
    <row r="460" customFormat="false" ht="15" hidden="false" customHeight="false" outlineLevel="0" collapsed="false">
      <c r="A460" s="6" t="s">
        <v>686</v>
      </c>
      <c r="B460" s="6" t="s">
        <v>684</v>
      </c>
      <c r="C460" s="6" t="s">
        <v>687</v>
      </c>
      <c r="D460" s="6" t="s">
        <v>30</v>
      </c>
      <c r="E460" s="7" t="n">
        <v>165</v>
      </c>
      <c r="F460" s="7" t="n">
        <v>185</v>
      </c>
      <c r="G460" s="6" t="s">
        <v>147</v>
      </c>
      <c r="H460" s="7" t="n">
        <v>149</v>
      </c>
      <c r="I460" s="7" t="n">
        <v>149</v>
      </c>
      <c r="J460" s="7" t="n">
        <v>163</v>
      </c>
      <c r="K460" s="6" t="s">
        <v>32</v>
      </c>
      <c r="L460" s="6" t="s">
        <v>33</v>
      </c>
      <c r="M460" s="8" t="n">
        <f aca="false">IF(H460&lt;E460,(E460-H460)/H460,IF(H460&gt;F460,(F460-H460)/H460,0))</f>
        <v>0.10738255033557</v>
      </c>
      <c r="N460" s="9" t="s">
        <v>34</v>
      </c>
      <c r="O460" s="9" t="s">
        <v>34</v>
      </c>
    </row>
    <row r="461" customFormat="false" ht="15" hidden="false" customHeight="false" outlineLevel="0" collapsed="false">
      <c r="A461" s="6" t="s">
        <v>688</v>
      </c>
      <c r="B461" s="6" t="s">
        <v>684</v>
      </c>
      <c r="C461" s="6" t="s">
        <v>689</v>
      </c>
      <c r="D461" s="6" t="s">
        <v>38</v>
      </c>
      <c r="E461" s="7" t="n">
        <v>16.9</v>
      </c>
      <c r="F461" s="7" t="n">
        <v>16.9</v>
      </c>
      <c r="G461" s="6" t="s">
        <v>226</v>
      </c>
      <c r="H461" s="7" t="n">
        <v>6.95</v>
      </c>
      <c r="I461" s="7"/>
      <c r="J461" s="7"/>
      <c r="K461" s="6" t="s">
        <v>32</v>
      </c>
      <c r="L461" s="6" t="s">
        <v>33</v>
      </c>
      <c r="M461" s="8" t="n">
        <f aca="false">IF(H461&lt;E461,(E461-H461)/H461,IF(H461&gt;F461,(F461-H461)/H461,0))</f>
        <v>1.43165467625899</v>
      </c>
      <c r="N461" s="9" t="s">
        <v>34</v>
      </c>
      <c r="O461" s="9" t="s">
        <v>34</v>
      </c>
    </row>
    <row r="462" customFormat="false" ht="15" hidden="false" customHeight="false" outlineLevel="0" collapsed="false">
      <c r="A462" s="6" t="s">
        <v>690</v>
      </c>
      <c r="B462" s="6" t="s">
        <v>684</v>
      </c>
      <c r="C462" s="6" t="s">
        <v>691</v>
      </c>
      <c r="D462" s="6" t="s">
        <v>52</v>
      </c>
      <c r="E462" s="7" t="n">
        <v>74.7</v>
      </c>
      <c r="F462" s="7" t="n">
        <v>80</v>
      </c>
      <c r="G462" s="6" t="s">
        <v>147</v>
      </c>
      <c r="H462" s="7" t="n">
        <v>59</v>
      </c>
      <c r="I462" s="7" t="n">
        <v>59</v>
      </c>
      <c r="J462" s="7" t="n">
        <v>77</v>
      </c>
      <c r="K462" s="6" t="s">
        <v>32</v>
      </c>
      <c r="L462" s="6" t="s">
        <v>33</v>
      </c>
      <c r="M462" s="8" t="n">
        <f aca="false">IF(H462&lt;E462,(E462-H462)/H462,IF(H462&gt;F462,(F462-H462)/H462,0))</f>
        <v>0.266101694915254</v>
      </c>
      <c r="N462" s="9" t="s">
        <v>34</v>
      </c>
      <c r="O462" s="9" t="s">
        <v>34</v>
      </c>
    </row>
    <row r="463" customFormat="false" ht="15" hidden="false" customHeight="false" outlineLevel="0" collapsed="false">
      <c r="A463" s="6" t="s">
        <v>692</v>
      </c>
      <c r="B463" s="6" t="s">
        <v>684</v>
      </c>
      <c r="C463" s="6" t="s">
        <v>693</v>
      </c>
      <c r="D463" s="6" t="s">
        <v>38</v>
      </c>
      <c r="E463" s="7" t="n">
        <v>11.9</v>
      </c>
      <c r="F463" s="7" t="n">
        <v>11.9</v>
      </c>
      <c r="G463" s="6" t="s">
        <v>226</v>
      </c>
      <c r="H463" s="7" t="n">
        <v>9.59</v>
      </c>
      <c r="I463" s="7"/>
      <c r="J463" s="7"/>
      <c r="K463" s="6" t="s">
        <v>32</v>
      </c>
      <c r="L463" s="6" t="s">
        <v>33</v>
      </c>
      <c r="M463" s="8" t="n">
        <f aca="false">IF(H463&lt;E463,(E463-H463)/H463,IF(H463&gt;F463,(F463-H463)/H463,0))</f>
        <v>0.240875912408759</v>
      </c>
      <c r="N463" s="9" t="s">
        <v>34</v>
      </c>
      <c r="O463" s="9" t="s">
        <v>34</v>
      </c>
    </row>
    <row r="464" customFormat="false" ht="15" hidden="false" customHeight="false" outlineLevel="0" collapsed="false">
      <c r="A464" s="6" t="s">
        <v>694</v>
      </c>
      <c r="B464" s="6" t="s">
        <v>695</v>
      </c>
      <c r="C464" s="6" t="s">
        <v>696</v>
      </c>
      <c r="D464" s="6" t="s">
        <v>38</v>
      </c>
      <c r="E464" s="7" t="n">
        <v>4.3</v>
      </c>
      <c r="F464" s="7" t="n">
        <v>4.8</v>
      </c>
      <c r="G464" s="6" t="s">
        <v>31</v>
      </c>
      <c r="H464" s="7" t="n">
        <v>3.49</v>
      </c>
      <c r="I464" s="7"/>
      <c r="J464" s="7"/>
      <c r="K464" s="6" t="s">
        <v>32</v>
      </c>
      <c r="L464" s="6" t="s">
        <v>33</v>
      </c>
      <c r="M464" s="8" t="n">
        <f aca="false">IF(H464&lt;E464,(E464-H464)/H464,IF(H464&gt;F464,(F464-H464)/H464,0))</f>
        <v>0.232091690544412</v>
      </c>
      <c r="N464" s="9" t="s">
        <v>34</v>
      </c>
      <c r="O464" s="9" t="s">
        <v>34</v>
      </c>
    </row>
    <row r="465" customFormat="false" ht="15" hidden="false" customHeight="false" outlineLevel="0" collapsed="false">
      <c r="A465" s="6" t="s">
        <v>697</v>
      </c>
      <c r="B465" s="6" t="s">
        <v>698</v>
      </c>
      <c r="C465" s="6" t="s">
        <v>699</v>
      </c>
      <c r="D465" s="6" t="s">
        <v>69</v>
      </c>
      <c r="E465" s="7" t="n">
        <v>26.5</v>
      </c>
      <c r="F465" s="7" t="n">
        <v>26.5</v>
      </c>
      <c r="G465" s="6" t="s">
        <v>31</v>
      </c>
      <c r="H465" s="7" t="n">
        <v>18.99</v>
      </c>
      <c r="I465" s="7"/>
      <c r="J465" s="7"/>
      <c r="K465" s="6" t="s">
        <v>32</v>
      </c>
      <c r="L465" s="6" t="s">
        <v>93</v>
      </c>
      <c r="M465" s="8" t="n">
        <f aca="false">IF(H465&lt;E465,(E465-H465)/H465,IF(H465&gt;F465,(F465-H465)/H465,0))</f>
        <v>0.395471300684571</v>
      </c>
      <c r="N465" s="9" t="s">
        <v>34</v>
      </c>
      <c r="O465" s="9" t="s">
        <v>34</v>
      </c>
    </row>
    <row r="466" customFormat="false" ht="15" hidden="false" customHeight="false" outlineLevel="0" collapsed="false">
      <c r="A466" s="6" t="s">
        <v>700</v>
      </c>
      <c r="B466" s="6" t="s">
        <v>698</v>
      </c>
      <c r="C466" s="6" t="s">
        <v>701</v>
      </c>
      <c r="D466" s="6" t="s">
        <v>69</v>
      </c>
      <c r="E466" s="7" t="n">
        <v>25</v>
      </c>
      <c r="F466" s="7" t="n">
        <v>25</v>
      </c>
      <c r="G466" s="6" t="s">
        <v>31</v>
      </c>
      <c r="H466" s="7" t="n">
        <v>17.09</v>
      </c>
      <c r="I466" s="7"/>
      <c r="J466" s="7"/>
      <c r="K466" s="6" t="s">
        <v>32</v>
      </c>
      <c r="L466" s="6" t="s">
        <v>93</v>
      </c>
      <c r="M466" s="8" t="n">
        <f aca="false">IF(H466&lt;E466,(E466-H466)/H466,IF(H466&gt;F466,(F466-H466)/H466,0))</f>
        <v>0.462843768285547</v>
      </c>
      <c r="N466" s="9" t="s">
        <v>34</v>
      </c>
      <c r="O466" s="9" t="s">
        <v>34</v>
      </c>
    </row>
    <row r="467" customFormat="false" ht="15" hidden="false" customHeight="false" outlineLevel="0" collapsed="false">
      <c r="A467" s="6" t="s">
        <v>702</v>
      </c>
      <c r="B467" s="6" t="s">
        <v>703</v>
      </c>
      <c r="C467" s="6" t="s">
        <v>704</v>
      </c>
      <c r="D467" s="6" t="s">
        <v>30</v>
      </c>
      <c r="E467" s="7" t="n">
        <v>5.6</v>
      </c>
      <c r="F467" s="7" t="n">
        <v>6</v>
      </c>
      <c r="G467" s="6" t="s">
        <v>31</v>
      </c>
      <c r="H467" s="7" t="n">
        <v>3.59</v>
      </c>
      <c r="I467" s="7"/>
      <c r="J467" s="7"/>
      <c r="K467" s="6" t="s">
        <v>32</v>
      </c>
      <c r="L467" s="6" t="s">
        <v>33</v>
      </c>
      <c r="M467" s="8" t="n">
        <f aca="false">IF(H467&lt;E467,(E467-H467)/H467,IF(H467&gt;F467,(F467-H467)/H467,0))</f>
        <v>0.559888579387187</v>
      </c>
      <c r="N467" s="9" t="s">
        <v>34</v>
      </c>
      <c r="O467" s="9" t="s">
        <v>34</v>
      </c>
    </row>
    <row r="468" customFormat="false" ht="15" hidden="false" customHeight="false" outlineLevel="0" collapsed="false">
      <c r="A468" s="6" t="s">
        <v>705</v>
      </c>
      <c r="B468" s="6" t="s">
        <v>703</v>
      </c>
      <c r="C468" s="6" t="s">
        <v>706</v>
      </c>
      <c r="D468" s="6" t="s">
        <v>69</v>
      </c>
      <c r="E468" s="7" t="n">
        <v>11.9</v>
      </c>
      <c r="F468" s="7" t="n">
        <v>11.9</v>
      </c>
      <c r="G468" s="6" t="s">
        <v>31</v>
      </c>
      <c r="H468" s="7" t="n">
        <v>7.99</v>
      </c>
      <c r="I468" s="7"/>
      <c r="J468" s="7"/>
      <c r="K468" s="6" t="s">
        <v>32</v>
      </c>
      <c r="L468" s="6" t="s">
        <v>33</v>
      </c>
      <c r="M468" s="8" t="n">
        <f aca="false">IF(H468&lt;E468,(E468-H468)/H468,IF(H468&gt;F468,(F468-H468)/H468,0))</f>
        <v>0.48936170212766</v>
      </c>
      <c r="N468" s="9" t="s">
        <v>34</v>
      </c>
      <c r="O468" s="9" t="s">
        <v>34</v>
      </c>
    </row>
    <row r="469" customFormat="false" ht="15" hidden="false" customHeight="false" outlineLevel="0" collapsed="false">
      <c r="A469" s="6" t="s">
        <v>707</v>
      </c>
      <c r="B469" s="6" t="s">
        <v>703</v>
      </c>
      <c r="C469" s="6" t="s">
        <v>708</v>
      </c>
      <c r="D469" s="6" t="s">
        <v>52</v>
      </c>
      <c r="E469" s="7" t="n">
        <v>8.9</v>
      </c>
      <c r="F469" s="7" t="n">
        <v>8.9</v>
      </c>
      <c r="G469" s="6" t="s">
        <v>31</v>
      </c>
      <c r="H469" s="7" t="n">
        <v>5.99</v>
      </c>
      <c r="I469" s="7"/>
      <c r="J469" s="7"/>
      <c r="K469" s="6" t="s">
        <v>32</v>
      </c>
      <c r="L469" s="6" t="s">
        <v>93</v>
      </c>
      <c r="M469" s="8" t="n">
        <f aca="false">IF(H469&lt;E469,(E469-H469)/H469,IF(H469&gt;F469,(F469-H469)/H469,0))</f>
        <v>0.485809682804674</v>
      </c>
      <c r="N469" s="9" t="s">
        <v>34</v>
      </c>
      <c r="O469" s="9" t="s">
        <v>34</v>
      </c>
    </row>
    <row r="470" customFormat="false" ht="15" hidden="false" customHeight="false" outlineLevel="0" collapsed="false">
      <c r="A470" s="6" t="s">
        <v>709</v>
      </c>
      <c r="B470" s="6" t="s">
        <v>710</v>
      </c>
      <c r="C470" s="6" t="s">
        <v>711</v>
      </c>
      <c r="D470" s="6" t="s">
        <v>712</v>
      </c>
      <c r="E470" s="7" t="n">
        <v>29.9</v>
      </c>
      <c r="F470" s="7" t="n">
        <v>29.9</v>
      </c>
      <c r="G470" s="6" t="s">
        <v>147</v>
      </c>
      <c r="H470" s="7" t="n">
        <v>26</v>
      </c>
      <c r="I470" s="7"/>
      <c r="J470" s="7"/>
      <c r="K470" s="6" t="s">
        <v>32</v>
      </c>
      <c r="L470" s="6" t="s">
        <v>93</v>
      </c>
      <c r="M470" s="8" t="n">
        <f aca="false">IF(H470&lt;E470,(E470-H470)/H470,IF(H470&gt;F470,(F470-H470)/H470,0))</f>
        <v>0.15</v>
      </c>
      <c r="N470" s="9" t="s">
        <v>34</v>
      </c>
      <c r="O470" s="9" t="s">
        <v>34</v>
      </c>
    </row>
    <row r="471" customFormat="false" ht="15" hidden="false" customHeight="false" outlineLevel="0" collapsed="false">
      <c r="A471" s="6" t="s">
        <v>713</v>
      </c>
      <c r="B471" s="6" t="s">
        <v>714</v>
      </c>
      <c r="C471" s="6" t="s">
        <v>715</v>
      </c>
      <c r="D471" s="6" t="s">
        <v>38</v>
      </c>
      <c r="E471" s="7" t="n">
        <v>59.9</v>
      </c>
      <c r="F471" s="7" t="n">
        <v>59.9</v>
      </c>
      <c r="G471" s="6" t="s">
        <v>147</v>
      </c>
      <c r="H471" s="7" t="n">
        <v>51</v>
      </c>
      <c r="I471" s="7"/>
      <c r="J471" s="7"/>
      <c r="K471" s="6" t="s">
        <v>40</v>
      </c>
      <c r="L471" s="6" t="s">
        <v>45</v>
      </c>
      <c r="M471" s="8" t="n">
        <f aca="false">IF(H471&lt;E471,(E471-H471)/H471,IF(H471&gt;F471,(F471-H471)/H471,0))</f>
        <v>0.174509803921569</v>
      </c>
      <c r="N471" s="9" t="s">
        <v>34</v>
      </c>
      <c r="O471" s="9" t="s">
        <v>34</v>
      </c>
    </row>
    <row r="472" customFormat="false" ht="15" hidden="false" customHeight="false" outlineLevel="0" collapsed="false">
      <c r="A472" s="6" t="s">
        <v>713</v>
      </c>
      <c r="B472" s="6" t="s">
        <v>714</v>
      </c>
      <c r="C472" s="6" t="s">
        <v>715</v>
      </c>
      <c r="D472" s="6" t="s">
        <v>38</v>
      </c>
      <c r="E472" s="7" t="n">
        <v>59.9</v>
      </c>
      <c r="F472" s="7" t="n">
        <v>59.9</v>
      </c>
      <c r="G472" s="6" t="s">
        <v>105</v>
      </c>
      <c r="H472" s="7" t="n">
        <v>28.18</v>
      </c>
      <c r="I472" s="7"/>
      <c r="J472" s="7"/>
      <c r="K472" s="6" t="s">
        <v>106</v>
      </c>
      <c r="L472" s="6" t="s">
        <v>93</v>
      </c>
      <c r="M472" s="8" t="n">
        <f aca="false">IF(H472&lt;E472,(E472-H472)/H472,IF(H472&gt;F472,(F472-H472)/H472,0))</f>
        <v>1.12562100780696</v>
      </c>
      <c r="N472" s="9" t="s">
        <v>34</v>
      </c>
      <c r="O472" s="9" t="s">
        <v>34</v>
      </c>
    </row>
    <row r="473" customFormat="false" ht="15" hidden="false" customHeight="false" outlineLevel="0" collapsed="false">
      <c r="A473" s="6" t="s">
        <v>713</v>
      </c>
      <c r="B473" s="6" t="s">
        <v>714</v>
      </c>
      <c r="C473" s="6" t="s">
        <v>715</v>
      </c>
      <c r="D473" s="6" t="s">
        <v>38</v>
      </c>
      <c r="E473" s="7" t="n">
        <v>59.9</v>
      </c>
      <c r="F473" s="7" t="n">
        <v>59.9</v>
      </c>
      <c r="G473" s="6" t="s">
        <v>716</v>
      </c>
      <c r="H473" s="7" t="n">
        <v>85</v>
      </c>
      <c r="I473" s="7"/>
      <c r="J473" s="7"/>
      <c r="K473" s="6" t="s">
        <v>32</v>
      </c>
      <c r="L473" s="6" t="s">
        <v>93</v>
      </c>
      <c r="M473" s="8" t="n">
        <f aca="false">IF(H473&lt;E473,(E473-H473)/H473,IF(H473&gt;F473,(F473-H473)/H473,0))</f>
        <v>-0.295294117647059</v>
      </c>
      <c r="N473" s="9" t="s">
        <v>34</v>
      </c>
      <c r="O473" s="9" t="s">
        <v>34</v>
      </c>
    </row>
    <row r="474" customFormat="false" ht="15" hidden="false" customHeight="false" outlineLevel="0" collapsed="false">
      <c r="A474" s="6" t="s">
        <v>713</v>
      </c>
      <c r="B474" s="6" t="s">
        <v>714</v>
      </c>
      <c r="C474" s="6" t="s">
        <v>715</v>
      </c>
      <c r="D474" s="6" t="s">
        <v>38</v>
      </c>
      <c r="E474" s="7" t="n">
        <v>59.9</v>
      </c>
      <c r="F474" s="7" t="n">
        <v>59.9</v>
      </c>
      <c r="G474" s="6" t="s">
        <v>226</v>
      </c>
      <c r="H474" s="7" t="n">
        <v>48.14</v>
      </c>
      <c r="I474" s="7"/>
      <c r="J474" s="7"/>
      <c r="K474" s="6" t="s">
        <v>40</v>
      </c>
      <c r="L474" s="6" t="s">
        <v>45</v>
      </c>
      <c r="M474" s="8" t="n">
        <f aca="false">IF(H474&lt;E474,(E474-H474)/H474,IF(H474&gt;F474,(F474-H474)/H474,0))</f>
        <v>0.244287494806813</v>
      </c>
      <c r="N474" s="9" t="s">
        <v>34</v>
      </c>
      <c r="O474" s="9" t="s">
        <v>34</v>
      </c>
    </row>
    <row r="475" customFormat="false" ht="15" hidden="false" customHeight="false" outlineLevel="0" collapsed="false">
      <c r="A475" s="6" t="s">
        <v>717</v>
      </c>
      <c r="B475" s="6" t="s">
        <v>714</v>
      </c>
      <c r="C475" s="6" t="s">
        <v>718</v>
      </c>
      <c r="D475" s="6" t="s">
        <v>38</v>
      </c>
      <c r="E475" s="7" t="n">
        <v>139</v>
      </c>
      <c r="F475" s="7" t="n">
        <v>159</v>
      </c>
      <c r="G475" s="6" t="s">
        <v>147</v>
      </c>
      <c r="H475" s="7" t="n">
        <v>115</v>
      </c>
      <c r="I475" s="7" t="n">
        <v>115</v>
      </c>
      <c r="J475" s="7" t="n">
        <v>135</v>
      </c>
      <c r="K475" s="6" t="s">
        <v>32</v>
      </c>
      <c r="L475" s="6" t="s">
        <v>45</v>
      </c>
      <c r="M475" s="8" t="n">
        <f aca="false">IF(H475&lt;E475,(E475-H475)/H475,IF(H475&gt;F475,(F475-H475)/H475,0))</f>
        <v>0.208695652173913</v>
      </c>
      <c r="N475" s="9" t="s">
        <v>34</v>
      </c>
      <c r="O475" s="9" t="s">
        <v>34</v>
      </c>
    </row>
    <row r="476" customFormat="false" ht="15" hidden="false" customHeight="false" outlineLevel="0" collapsed="false">
      <c r="A476" s="6" t="s">
        <v>717</v>
      </c>
      <c r="B476" s="6" t="s">
        <v>714</v>
      </c>
      <c r="C476" s="6" t="s">
        <v>718</v>
      </c>
      <c r="D476" s="6" t="s">
        <v>38</v>
      </c>
      <c r="E476" s="7" t="n">
        <v>139</v>
      </c>
      <c r="F476" s="7" t="n">
        <v>159</v>
      </c>
      <c r="G476" s="6" t="s">
        <v>105</v>
      </c>
      <c r="H476" s="7" t="n">
        <v>136.25</v>
      </c>
      <c r="I476" s="7"/>
      <c r="J476" s="7"/>
      <c r="K476" s="6" t="s">
        <v>106</v>
      </c>
      <c r="L476" s="6" t="s">
        <v>45</v>
      </c>
      <c r="M476" s="8" t="n">
        <f aca="false">IF(H476&lt;E476,(E476-H476)/H476,IF(H476&gt;F476,(F476-H476)/H476,0))</f>
        <v>0.0201834862385321</v>
      </c>
      <c r="N476" s="9" t="s">
        <v>34</v>
      </c>
      <c r="O476" s="9" t="s">
        <v>34</v>
      </c>
    </row>
    <row r="477" customFormat="false" ht="15" hidden="false" customHeight="false" outlineLevel="0" collapsed="false">
      <c r="A477" s="6" t="s">
        <v>717</v>
      </c>
      <c r="B477" s="6" t="s">
        <v>714</v>
      </c>
      <c r="C477" s="6" t="s">
        <v>718</v>
      </c>
      <c r="D477" s="6" t="s">
        <v>38</v>
      </c>
      <c r="E477" s="7" t="n">
        <v>139</v>
      </c>
      <c r="F477" s="7" t="n">
        <v>159</v>
      </c>
      <c r="G477" s="6" t="s">
        <v>716</v>
      </c>
      <c r="H477" s="7" t="n">
        <v>122</v>
      </c>
      <c r="I477" s="7"/>
      <c r="J477" s="7"/>
      <c r="K477" s="6" t="s">
        <v>32</v>
      </c>
      <c r="L477" s="6" t="s">
        <v>45</v>
      </c>
      <c r="M477" s="8" t="n">
        <f aca="false">IF(H477&lt;E477,(E477-H477)/H477,IF(H477&gt;F477,(F477-H477)/H477,0))</f>
        <v>0.139344262295082</v>
      </c>
      <c r="N477" s="9" t="s">
        <v>34</v>
      </c>
      <c r="O477" s="9" t="s">
        <v>34</v>
      </c>
    </row>
    <row r="478" customFormat="false" ht="15" hidden="false" customHeight="false" outlineLevel="0" collapsed="false">
      <c r="A478" s="6" t="s">
        <v>719</v>
      </c>
      <c r="B478" s="6" t="s">
        <v>714</v>
      </c>
      <c r="C478" s="6" t="s">
        <v>720</v>
      </c>
      <c r="D478" s="6" t="s">
        <v>38</v>
      </c>
      <c r="E478" s="7" t="n">
        <v>85</v>
      </c>
      <c r="F478" s="7" t="n">
        <v>110</v>
      </c>
      <c r="G478" s="6" t="s">
        <v>147</v>
      </c>
      <c r="H478" s="7" t="n">
        <v>73</v>
      </c>
      <c r="I478" s="7" t="n">
        <v>73</v>
      </c>
      <c r="J478" s="7" t="n">
        <v>88</v>
      </c>
      <c r="K478" s="6" t="s">
        <v>32</v>
      </c>
      <c r="L478" s="6" t="s">
        <v>33</v>
      </c>
      <c r="M478" s="8" t="n">
        <f aca="false">IF(H478&lt;E478,(E478-H478)/H478,IF(H478&gt;F478,(F478-H478)/H478,0))</f>
        <v>0.164383561643836</v>
      </c>
      <c r="N478" s="9" t="s">
        <v>34</v>
      </c>
      <c r="O478" s="9" t="s">
        <v>34</v>
      </c>
    </row>
    <row r="479" customFormat="false" ht="15" hidden="false" customHeight="false" outlineLevel="0" collapsed="false">
      <c r="A479" s="6" t="s">
        <v>721</v>
      </c>
      <c r="B479" s="6" t="s">
        <v>714</v>
      </c>
      <c r="C479" s="6" t="s">
        <v>722</v>
      </c>
      <c r="D479" s="6" t="s">
        <v>723</v>
      </c>
      <c r="E479" s="7" t="n">
        <v>189</v>
      </c>
      <c r="F479" s="7" t="n">
        <v>199</v>
      </c>
      <c r="G479" s="6" t="s">
        <v>39</v>
      </c>
      <c r="H479" s="7" t="n">
        <v>146.95</v>
      </c>
      <c r="I479" s="7"/>
      <c r="J479" s="7"/>
      <c r="K479" s="6" t="s">
        <v>32</v>
      </c>
      <c r="L479" s="6" t="s">
        <v>33</v>
      </c>
      <c r="M479" s="8" t="n">
        <f aca="false">IF(H479&lt;E479,(E479-H479)/H479,IF(H479&gt;F479,(F479-H479)/H479,0))</f>
        <v>0.2861517522967</v>
      </c>
      <c r="N479" s="9" t="s">
        <v>34</v>
      </c>
      <c r="O479" s="9" t="s">
        <v>34</v>
      </c>
    </row>
    <row r="480" customFormat="false" ht="15" hidden="false" customHeight="false" outlineLevel="0" collapsed="false">
      <c r="A480" s="6" t="s">
        <v>724</v>
      </c>
      <c r="B480" s="6" t="s">
        <v>714</v>
      </c>
      <c r="C480" s="6" t="s">
        <v>725</v>
      </c>
      <c r="D480" s="6" t="s">
        <v>575</v>
      </c>
      <c r="E480" s="7" t="n">
        <v>69</v>
      </c>
      <c r="F480" s="7" t="n">
        <v>69</v>
      </c>
      <c r="G480" s="6" t="s">
        <v>147</v>
      </c>
      <c r="H480" s="7" t="n">
        <v>62</v>
      </c>
      <c r="I480" s="7"/>
      <c r="J480" s="7"/>
      <c r="K480" s="6" t="s">
        <v>40</v>
      </c>
      <c r="L480" s="6" t="s">
        <v>33</v>
      </c>
      <c r="M480" s="8" t="n">
        <f aca="false">IF(H480&lt;E480,(E480-H480)/H480,IF(H480&gt;F480,(F480-H480)/H480,0))</f>
        <v>0.112903225806452</v>
      </c>
      <c r="N480" s="9" t="s">
        <v>34</v>
      </c>
      <c r="O480" s="9" t="s">
        <v>34</v>
      </c>
    </row>
    <row r="481" customFormat="false" ht="15" hidden="false" customHeight="false" outlineLevel="0" collapsed="false">
      <c r="A481" s="6" t="s">
        <v>726</v>
      </c>
      <c r="B481" s="6" t="s">
        <v>714</v>
      </c>
      <c r="C481" s="6" t="s">
        <v>727</v>
      </c>
      <c r="D481" s="6" t="s">
        <v>391</v>
      </c>
      <c r="E481" s="7" t="n">
        <v>7.9</v>
      </c>
      <c r="F481" s="7" t="n">
        <v>13.5</v>
      </c>
      <c r="G481" s="6" t="s">
        <v>716</v>
      </c>
      <c r="H481" s="7" t="n">
        <v>8.9</v>
      </c>
      <c r="I481" s="7"/>
      <c r="J481" s="7"/>
      <c r="K481" s="6" t="s">
        <v>32</v>
      </c>
      <c r="L481" s="6" t="s">
        <v>45</v>
      </c>
      <c r="M481" s="8" t="n">
        <f aca="false">IF(H481&lt;E481,(E481-H481)/H481,IF(H481&gt;F481,(F481-H481)/H481,0))</f>
        <v>0</v>
      </c>
      <c r="N481" s="9" t="s">
        <v>34</v>
      </c>
      <c r="O481" s="9" t="s">
        <v>34</v>
      </c>
    </row>
    <row r="482" customFormat="false" ht="15" hidden="false" customHeight="false" outlineLevel="0" collapsed="false">
      <c r="A482" s="6" t="s">
        <v>728</v>
      </c>
      <c r="B482" s="6" t="s">
        <v>714</v>
      </c>
      <c r="C482" s="6" t="s">
        <v>729</v>
      </c>
      <c r="D482" s="6" t="s">
        <v>730</v>
      </c>
      <c r="E482" s="7" t="n">
        <v>49.9</v>
      </c>
      <c r="F482" s="7" t="n">
        <v>49.9</v>
      </c>
      <c r="G482" s="6" t="s">
        <v>105</v>
      </c>
      <c r="H482" s="7" t="n">
        <v>70.6</v>
      </c>
      <c r="I482" s="7"/>
      <c r="J482" s="7"/>
      <c r="K482" s="6" t="s">
        <v>106</v>
      </c>
      <c r="L482" s="6" t="s">
        <v>93</v>
      </c>
      <c r="M482" s="8" t="n">
        <f aca="false">IF(H482&lt;E482,(E482-H482)/H482,IF(H482&gt;F482,(F482-H482)/H482,0))</f>
        <v>-0.293201133144476</v>
      </c>
      <c r="N482" s="9" t="s">
        <v>34</v>
      </c>
      <c r="O482" s="9" t="s">
        <v>34</v>
      </c>
    </row>
    <row r="483" customFormat="false" ht="15" hidden="false" customHeight="false" outlineLevel="0" collapsed="false">
      <c r="A483" s="6" t="s">
        <v>731</v>
      </c>
      <c r="B483" s="6" t="s">
        <v>714</v>
      </c>
      <c r="C483" s="6" t="s">
        <v>732</v>
      </c>
      <c r="D483" s="6" t="s">
        <v>38</v>
      </c>
      <c r="E483" s="7" t="n">
        <v>139</v>
      </c>
      <c r="F483" s="7" t="n">
        <v>139</v>
      </c>
      <c r="G483" s="6" t="s">
        <v>147</v>
      </c>
      <c r="H483" s="7" t="n">
        <v>95</v>
      </c>
      <c r="I483" s="7" t="n">
        <v>95</v>
      </c>
      <c r="J483" s="7" t="n">
        <v>105</v>
      </c>
      <c r="K483" s="6" t="s">
        <v>32</v>
      </c>
      <c r="L483" s="6" t="s">
        <v>93</v>
      </c>
      <c r="M483" s="8" t="n">
        <f aca="false">IF(H483&lt;E483,(E483-H483)/H483,IF(H483&gt;F483,(F483-H483)/H483,0))</f>
        <v>0.463157894736842</v>
      </c>
      <c r="N483" s="9" t="s">
        <v>34</v>
      </c>
      <c r="O483" s="9" t="s">
        <v>34</v>
      </c>
    </row>
    <row r="484" customFormat="false" ht="15" hidden="false" customHeight="false" outlineLevel="0" collapsed="false">
      <c r="A484" s="6" t="s">
        <v>731</v>
      </c>
      <c r="B484" s="6" t="s">
        <v>714</v>
      </c>
      <c r="C484" s="6" t="s">
        <v>732</v>
      </c>
      <c r="D484" s="6" t="s">
        <v>38</v>
      </c>
      <c r="E484" s="7" t="n">
        <v>139</v>
      </c>
      <c r="F484" s="7" t="n">
        <v>139</v>
      </c>
      <c r="G484" s="6" t="s">
        <v>105</v>
      </c>
      <c r="H484" s="7" t="n">
        <v>95.85</v>
      </c>
      <c r="I484" s="7"/>
      <c r="J484" s="7"/>
      <c r="K484" s="6" t="s">
        <v>106</v>
      </c>
      <c r="L484" s="6" t="s">
        <v>93</v>
      </c>
      <c r="M484" s="8" t="n">
        <f aca="false">IF(H484&lt;E484,(E484-H484)/H484,IF(H484&gt;F484,(F484-H484)/H484,0))</f>
        <v>0.45018257694314</v>
      </c>
      <c r="N484" s="9" t="s">
        <v>34</v>
      </c>
      <c r="O484" s="9" t="s">
        <v>34</v>
      </c>
    </row>
    <row r="485" customFormat="false" ht="15" hidden="false" customHeight="false" outlineLevel="0" collapsed="false">
      <c r="A485" s="6" t="s">
        <v>731</v>
      </c>
      <c r="B485" s="6" t="s">
        <v>714</v>
      </c>
      <c r="C485" s="6" t="s">
        <v>732</v>
      </c>
      <c r="D485" s="6" t="s">
        <v>38</v>
      </c>
      <c r="E485" s="7" t="n">
        <v>139</v>
      </c>
      <c r="F485" s="7" t="n">
        <v>139</v>
      </c>
      <c r="G485" s="6" t="s">
        <v>716</v>
      </c>
      <c r="H485" s="7" t="n">
        <v>104</v>
      </c>
      <c r="I485" s="7"/>
      <c r="J485" s="7"/>
      <c r="K485" s="6" t="s">
        <v>32</v>
      </c>
      <c r="L485" s="6" t="s">
        <v>93</v>
      </c>
      <c r="M485" s="8" t="n">
        <f aca="false">IF(H485&lt;E485,(E485-H485)/H485,IF(H485&gt;F485,(F485-H485)/H485,0))</f>
        <v>0.336538461538462</v>
      </c>
      <c r="N485" s="9" t="s">
        <v>34</v>
      </c>
      <c r="O485" s="9" t="s">
        <v>34</v>
      </c>
    </row>
    <row r="486" customFormat="false" ht="15" hidden="false" customHeight="false" outlineLevel="0" collapsed="false">
      <c r="A486" s="6" t="s">
        <v>731</v>
      </c>
      <c r="B486" s="6" t="s">
        <v>714</v>
      </c>
      <c r="C486" s="6" t="s">
        <v>732</v>
      </c>
      <c r="D486" s="6" t="s">
        <v>38</v>
      </c>
      <c r="E486" s="7" t="n">
        <v>139</v>
      </c>
      <c r="F486" s="7" t="n">
        <v>139</v>
      </c>
      <c r="G486" s="6" t="s">
        <v>226</v>
      </c>
      <c r="H486" s="7" t="n">
        <v>97.5</v>
      </c>
      <c r="I486" s="7"/>
      <c r="J486" s="7"/>
      <c r="K486" s="6" t="s">
        <v>40</v>
      </c>
      <c r="L486" s="6" t="s">
        <v>94</v>
      </c>
      <c r="M486" s="8" t="n">
        <f aca="false">IF(H486&lt;E486,(E486-H486)/H486,IF(H486&gt;F486,(F486-H486)/H486,0))</f>
        <v>0.425641025641026</v>
      </c>
      <c r="N486" s="9" t="s">
        <v>34</v>
      </c>
      <c r="O486" s="9" t="s">
        <v>34</v>
      </c>
    </row>
    <row r="487" customFormat="false" ht="15" hidden="false" customHeight="false" outlineLevel="0" collapsed="false">
      <c r="A487" s="6" t="s">
        <v>733</v>
      </c>
      <c r="B487" s="6" t="s">
        <v>714</v>
      </c>
      <c r="C487" s="6" t="s">
        <v>734</v>
      </c>
      <c r="D487" s="6" t="s">
        <v>575</v>
      </c>
      <c r="E487" s="7" t="n">
        <v>45</v>
      </c>
      <c r="F487" s="7" t="n">
        <v>49.9</v>
      </c>
      <c r="G487" s="6" t="s">
        <v>147</v>
      </c>
      <c r="H487" s="7" t="n">
        <v>42</v>
      </c>
      <c r="I487" s="7" t="n">
        <v>42</v>
      </c>
      <c r="J487" s="7" t="n">
        <v>46.5</v>
      </c>
      <c r="K487" s="6" t="s">
        <v>40</v>
      </c>
      <c r="L487" s="6" t="s">
        <v>33</v>
      </c>
      <c r="M487" s="8" t="n">
        <f aca="false">IF(H487&lt;E487,(E487-H487)/H487,IF(H487&gt;F487,(F487-H487)/H487,0))</f>
        <v>0.0714285714285714</v>
      </c>
      <c r="N487" s="9" t="s">
        <v>34</v>
      </c>
      <c r="O487" s="9" t="s">
        <v>34</v>
      </c>
    </row>
    <row r="488" customFormat="false" ht="15" hidden="false" customHeight="false" outlineLevel="0" collapsed="false">
      <c r="A488" s="6" t="s">
        <v>735</v>
      </c>
      <c r="B488" s="6" t="s">
        <v>714</v>
      </c>
      <c r="C488" s="6" t="s">
        <v>736</v>
      </c>
      <c r="D488" s="6" t="s">
        <v>737</v>
      </c>
      <c r="E488" s="7" t="n">
        <v>69</v>
      </c>
      <c r="F488" s="7" t="n">
        <v>79</v>
      </c>
      <c r="G488" s="6" t="s">
        <v>147</v>
      </c>
      <c r="H488" s="7" t="n">
        <v>58</v>
      </c>
      <c r="I488" s="7" t="n">
        <v>58</v>
      </c>
      <c r="J488" s="7" t="n">
        <v>69</v>
      </c>
      <c r="K488" s="6" t="s">
        <v>32</v>
      </c>
      <c r="L488" s="6" t="s">
        <v>33</v>
      </c>
      <c r="M488" s="8" t="n">
        <f aca="false">IF(H488&lt;E488,(E488-H488)/H488,IF(H488&gt;F488,(F488-H488)/H488,0))</f>
        <v>0.189655172413793</v>
      </c>
      <c r="N488" s="9" t="s">
        <v>34</v>
      </c>
      <c r="O488" s="9" t="s">
        <v>34</v>
      </c>
    </row>
    <row r="489" customFormat="false" ht="15" hidden="false" customHeight="false" outlineLevel="0" collapsed="false">
      <c r="A489" s="6" t="s">
        <v>735</v>
      </c>
      <c r="B489" s="6" t="s">
        <v>714</v>
      </c>
      <c r="C489" s="6" t="s">
        <v>736</v>
      </c>
      <c r="D489" s="6" t="s">
        <v>737</v>
      </c>
      <c r="E489" s="7" t="n">
        <v>69</v>
      </c>
      <c r="F489" s="7" t="n">
        <v>79</v>
      </c>
      <c r="G489" s="6" t="s">
        <v>226</v>
      </c>
      <c r="H489" s="7" t="n">
        <v>54.94</v>
      </c>
      <c r="I489" s="7"/>
      <c r="J489" s="7"/>
      <c r="K489" s="6" t="s">
        <v>40</v>
      </c>
      <c r="L489" s="6" t="s">
        <v>33</v>
      </c>
      <c r="M489" s="8" t="n">
        <f aca="false">IF(H489&lt;E489,(E489-H489)/H489,IF(H489&gt;F489,(F489-H489)/H489,0))</f>
        <v>0.255915544230069</v>
      </c>
      <c r="N489" s="9" t="s">
        <v>34</v>
      </c>
      <c r="O489" s="9" t="s">
        <v>34</v>
      </c>
    </row>
    <row r="490" customFormat="false" ht="15" hidden="false" customHeight="false" outlineLevel="0" collapsed="false">
      <c r="A490" s="6" t="s">
        <v>738</v>
      </c>
      <c r="B490" s="6" t="s">
        <v>714</v>
      </c>
      <c r="C490" s="6" t="s">
        <v>739</v>
      </c>
      <c r="D490" s="6" t="s">
        <v>38</v>
      </c>
      <c r="E490" s="7" t="n">
        <v>39</v>
      </c>
      <c r="F490" s="7" t="n">
        <v>41</v>
      </c>
      <c r="G490" s="6" t="s">
        <v>147</v>
      </c>
      <c r="H490" s="7" t="n">
        <v>35</v>
      </c>
      <c r="I490" s="7"/>
      <c r="J490" s="7"/>
      <c r="K490" s="6" t="s">
        <v>32</v>
      </c>
      <c r="L490" s="6" t="s">
        <v>33</v>
      </c>
      <c r="M490" s="8" t="n">
        <f aca="false">IF(H490&lt;E490,(E490-H490)/H490,IF(H490&gt;F490,(F490-H490)/H490,0))</f>
        <v>0.114285714285714</v>
      </c>
      <c r="N490" s="9" t="s">
        <v>34</v>
      </c>
      <c r="O490" s="9" t="s">
        <v>34</v>
      </c>
    </row>
    <row r="491" customFormat="false" ht="15" hidden="false" customHeight="false" outlineLevel="0" collapsed="false">
      <c r="A491" s="6" t="s">
        <v>740</v>
      </c>
      <c r="B491" s="6" t="s">
        <v>714</v>
      </c>
      <c r="C491" s="6" t="s">
        <v>741</v>
      </c>
      <c r="D491" s="6" t="s">
        <v>38</v>
      </c>
      <c r="E491" s="7" t="n">
        <v>36.6</v>
      </c>
      <c r="F491" s="7" t="n">
        <v>55</v>
      </c>
      <c r="G491" s="6" t="s">
        <v>147</v>
      </c>
      <c r="H491" s="7" t="n">
        <v>32</v>
      </c>
      <c r="I491" s="7"/>
      <c r="J491" s="7"/>
      <c r="K491" s="6" t="s">
        <v>32</v>
      </c>
      <c r="L491" s="6" t="s">
        <v>33</v>
      </c>
      <c r="M491" s="8" t="n">
        <f aca="false">IF(H491&lt;E491,(E491-H491)/H491,IF(H491&gt;F491,(F491-H491)/H491,0))</f>
        <v>0.14375</v>
      </c>
      <c r="N491" s="9" t="s">
        <v>34</v>
      </c>
      <c r="O491" s="9" t="s">
        <v>34</v>
      </c>
    </row>
    <row r="492" customFormat="false" ht="15" hidden="false" customHeight="false" outlineLevel="0" collapsed="false">
      <c r="A492" s="6" t="s">
        <v>742</v>
      </c>
      <c r="B492" s="6" t="s">
        <v>714</v>
      </c>
      <c r="C492" s="6" t="s">
        <v>743</v>
      </c>
      <c r="D492" s="6" t="s">
        <v>52</v>
      </c>
      <c r="E492" s="7" t="n">
        <v>58.5</v>
      </c>
      <c r="F492" s="7" t="n">
        <v>58.5</v>
      </c>
      <c r="G492" s="6" t="s">
        <v>105</v>
      </c>
      <c r="H492" s="7" t="n">
        <v>55.45</v>
      </c>
      <c r="I492" s="7"/>
      <c r="J492" s="7"/>
      <c r="K492" s="6" t="s">
        <v>106</v>
      </c>
      <c r="L492" s="6" t="s">
        <v>45</v>
      </c>
      <c r="M492" s="8" t="n">
        <f aca="false">IF(H492&lt;E492,(E492-H492)/H492,IF(H492&gt;F492,(F492-H492)/H492,0))</f>
        <v>0.0550045085662759</v>
      </c>
      <c r="N492" s="9" t="s">
        <v>34</v>
      </c>
      <c r="O492" s="9" t="s">
        <v>34</v>
      </c>
    </row>
    <row r="493" customFormat="false" ht="15" hidden="false" customHeight="false" outlineLevel="0" collapsed="false">
      <c r="A493" s="6" t="s">
        <v>744</v>
      </c>
      <c r="B493" s="6" t="s">
        <v>714</v>
      </c>
      <c r="C493" s="6" t="s">
        <v>745</v>
      </c>
      <c r="D493" s="6" t="s">
        <v>38</v>
      </c>
      <c r="E493" s="7" t="n">
        <v>89</v>
      </c>
      <c r="F493" s="7" t="n">
        <v>95</v>
      </c>
      <c r="G493" s="6" t="s">
        <v>147</v>
      </c>
      <c r="H493" s="7" t="n">
        <v>74</v>
      </c>
      <c r="I493" s="7" t="n">
        <v>74</v>
      </c>
      <c r="J493" s="7" t="n">
        <v>90</v>
      </c>
      <c r="K493" s="6" t="s">
        <v>40</v>
      </c>
      <c r="L493" s="6" t="s">
        <v>33</v>
      </c>
      <c r="M493" s="8" t="n">
        <f aca="false">IF(H493&lt;E493,(E493-H493)/H493,IF(H493&gt;F493,(F493-H493)/H493,0))</f>
        <v>0.202702702702703</v>
      </c>
      <c r="N493" s="9" t="s">
        <v>34</v>
      </c>
      <c r="O493" s="9" t="s">
        <v>34</v>
      </c>
    </row>
    <row r="494" customFormat="false" ht="15" hidden="false" customHeight="false" outlineLevel="0" collapsed="false">
      <c r="A494" s="6" t="s">
        <v>744</v>
      </c>
      <c r="B494" s="6" t="s">
        <v>714</v>
      </c>
      <c r="C494" s="6" t="s">
        <v>745</v>
      </c>
      <c r="D494" s="6" t="s">
        <v>38</v>
      </c>
      <c r="E494" s="7" t="n">
        <v>89</v>
      </c>
      <c r="F494" s="7" t="n">
        <v>95</v>
      </c>
      <c r="G494" s="6" t="s">
        <v>105</v>
      </c>
      <c r="H494" s="7" t="n">
        <v>75.65</v>
      </c>
      <c r="I494" s="7"/>
      <c r="J494" s="7"/>
      <c r="K494" s="6" t="s">
        <v>106</v>
      </c>
      <c r="L494" s="6" t="s">
        <v>33</v>
      </c>
      <c r="M494" s="8" t="n">
        <f aca="false">IF(H494&lt;E494,(E494-H494)/H494,IF(H494&gt;F494,(F494-H494)/H494,0))</f>
        <v>0.176470588235294</v>
      </c>
      <c r="N494" s="9" t="s">
        <v>34</v>
      </c>
      <c r="O494" s="9" t="s">
        <v>34</v>
      </c>
    </row>
    <row r="495" customFormat="false" ht="15" hidden="false" customHeight="false" outlineLevel="0" collapsed="false">
      <c r="A495" s="6" t="s">
        <v>744</v>
      </c>
      <c r="B495" s="6" t="s">
        <v>714</v>
      </c>
      <c r="C495" s="6" t="s">
        <v>745</v>
      </c>
      <c r="D495" s="6" t="s">
        <v>38</v>
      </c>
      <c r="E495" s="7" t="n">
        <v>89</v>
      </c>
      <c r="F495" s="7" t="n">
        <v>95</v>
      </c>
      <c r="G495" s="6" t="s">
        <v>716</v>
      </c>
      <c r="H495" s="7" t="n">
        <v>79.9</v>
      </c>
      <c r="I495" s="7"/>
      <c r="J495" s="7"/>
      <c r="K495" s="6" t="s">
        <v>32</v>
      </c>
      <c r="L495" s="6" t="s">
        <v>33</v>
      </c>
      <c r="M495" s="8" t="n">
        <f aca="false">IF(H495&lt;E495,(E495-H495)/H495,IF(H495&gt;F495,(F495-H495)/H495,0))</f>
        <v>0.113892365456821</v>
      </c>
      <c r="N495" s="9" t="s">
        <v>34</v>
      </c>
      <c r="O495" s="9" t="s">
        <v>34</v>
      </c>
    </row>
    <row r="496" customFormat="false" ht="15" hidden="false" customHeight="false" outlineLevel="0" collapsed="false">
      <c r="A496" s="6" t="s">
        <v>746</v>
      </c>
      <c r="B496" s="6" t="s">
        <v>714</v>
      </c>
      <c r="C496" s="6" t="s">
        <v>747</v>
      </c>
      <c r="D496" s="6" t="s">
        <v>748</v>
      </c>
      <c r="E496" s="7" t="n">
        <v>155</v>
      </c>
      <c r="F496" s="7" t="n">
        <v>199</v>
      </c>
      <c r="G496" s="6" t="s">
        <v>147</v>
      </c>
      <c r="H496" s="7" t="n">
        <v>105</v>
      </c>
      <c r="I496" s="7" t="n">
        <v>105</v>
      </c>
      <c r="J496" s="7" t="n">
        <v>175</v>
      </c>
      <c r="K496" s="6" t="s">
        <v>32</v>
      </c>
      <c r="L496" s="6" t="s">
        <v>33</v>
      </c>
      <c r="M496" s="8" t="n">
        <f aca="false">IF(H496&lt;E496,(E496-H496)/H496,IF(H496&gt;F496,(F496-H496)/H496,0))</f>
        <v>0.476190476190476</v>
      </c>
      <c r="N496" s="9" t="s">
        <v>34</v>
      </c>
      <c r="O496" s="9" t="s">
        <v>34</v>
      </c>
    </row>
    <row r="497" customFormat="false" ht="15" hidden="false" customHeight="false" outlineLevel="0" collapsed="false">
      <c r="A497" s="6" t="s">
        <v>746</v>
      </c>
      <c r="B497" s="6" t="s">
        <v>714</v>
      </c>
      <c r="C497" s="6" t="s">
        <v>747</v>
      </c>
      <c r="D497" s="6" t="s">
        <v>748</v>
      </c>
      <c r="E497" s="7" t="n">
        <v>155</v>
      </c>
      <c r="F497" s="7" t="n">
        <v>199</v>
      </c>
      <c r="G497" s="6" t="s">
        <v>716</v>
      </c>
      <c r="H497" s="7" t="n">
        <v>104</v>
      </c>
      <c r="I497" s="7"/>
      <c r="J497" s="7"/>
      <c r="K497" s="6" t="s">
        <v>32</v>
      </c>
      <c r="L497" s="6" t="s">
        <v>33</v>
      </c>
      <c r="M497" s="8" t="n">
        <f aca="false">IF(H497&lt;E497,(E497-H497)/H497,IF(H497&gt;F497,(F497-H497)/H497,0))</f>
        <v>0.490384615384615</v>
      </c>
      <c r="N497" s="9" t="s">
        <v>34</v>
      </c>
      <c r="O497" s="9" t="s">
        <v>34</v>
      </c>
    </row>
    <row r="498" customFormat="false" ht="15" hidden="false" customHeight="false" outlineLevel="0" collapsed="false">
      <c r="A498" s="6" t="s">
        <v>749</v>
      </c>
      <c r="B498" s="6" t="s">
        <v>714</v>
      </c>
      <c r="C498" s="6" t="s">
        <v>750</v>
      </c>
      <c r="D498" s="6" t="s">
        <v>38</v>
      </c>
      <c r="E498" s="7" t="n">
        <v>3.9</v>
      </c>
      <c r="F498" s="7" t="n">
        <v>5.5</v>
      </c>
      <c r="G498" s="6" t="s">
        <v>105</v>
      </c>
      <c r="H498" s="7" t="n">
        <v>6.06</v>
      </c>
      <c r="I498" s="7"/>
      <c r="J498" s="7"/>
      <c r="K498" s="6" t="s">
        <v>106</v>
      </c>
      <c r="L498" s="6" t="s">
        <v>33</v>
      </c>
      <c r="M498" s="8" t="n">
        <f aca="false">IF(H498&lt;E498,(E498-H498)/H498,IF(H498&gt;F498,(F498-H498)/H498,0))</f>
        <v>-0.0924092409240924</v>
      </c>
      <c r="N498" s="9" t="s">
        <v>34</v>
      </c>
      <c r="O498" s="9" t="s">
        <v>34</v>
      </c>
    </row>
    <row r="499" customFormat="false" ht="15" hidden="false" customHeight="false" outlineLevel="0" collapsed="false">
      <c r="A499" s="6" t="s">
        <v>751</v>
      </c>
      <c r="B499" s="6" t="s">
        <v>714</v>
      </c>
      <c r="C499" s="6" t="s">
        <v>752</v>
      </c>
      <c r="D499" s="6" t="s">
        <v>38</v>
      </c>
      <c r="E499" s="7" t="n">
        <v>85</v>
      </c>
      <c r="F499" s="7" t="n">
        <v>89</v>
      </c>
      <c r="G499" s="6" t="s">
        <v>716</v>
      </c>
      <c r="H499" s="7" t="n">
        <v>68</v>
      </c>
      <c r="I499" s="7"/>
      <c r="J499" s="7"/>
      <c r="K499" s="6" t="s">
        <v>32</v>
      </c>
      <c r="L499" s="6" t="s">
        <v>33</v>
      </c>
      <c r="M499" s="8" t="n">
        <f aca="false">IF(H499&lt;E499,(E499-H499)/H499,IF(H499&gt;F499,(F499-H499)/H499,0))</f>
        <v>0.25</v>
      </c>
      <c r="N499" s="9" t="s">
        <v>34</v>
      </c>
      <c r="O499" s="9" t="s">
        <v>34</v>
      </c>
    </row>
    <row r="500" customFormat="false" ht="15" hidden="false" customHeight="false" outlineLevel="0" collapsed="false">
      <c r="A500" s="6" t="s">
        <v>753</v>
      </c>
      <c r="B500" s="6" t="s">
        <v>714</v>
      </c>
      <c r="C500" s="6" t="s">
        <v>754</v>
      </c>
      <c r="D500" s="6" t="s">
        <v>38</v>
      </c>
      <c r="E500" s="7" t="n">
        <v>33</v>
      </c>
      <c r="F500" s="7" t="n">
        <v>41</v>
      </c>
      <c r="G500" s="6" t="s">
        <v>147</v>
      </c>
      <c r="H500" s="7" t="n">
        <v>41</v>
      </c>
      <c r="I500" s="7" t="n">
        <v>41</v>
      </c>
      <c r="J500" s="7" t="n">
        <v>44</v>
      </c>
      <c r="K500" s="6" t="s">
        <v>40</v>
      </c>
      <c r="L500" s="6" t="s">
        <v>33</v>
      </c>
      <c r="M500" s="8" t="n">
        <f aca="false">IF(H500&lt;E500,(E500-H500)/H500,IF(H500&gt;F500,(F500-H500)/H500,0))</f>
        <v>0</v>
      </c>
      <c r="N500" s="9" t="s">
        <v>34</v>
      </c>
      <c r="O500" s="9" t="s">
        <v>34</v>
      </c>
    </row>
    <row r="501" customFormat="false" ht="15" hidden="false" customHeight="false" outlineLevel="0" collapsed="false">
      <c r="A501" s="6" t="s">
        <v>755</v>
      </c>
      <c r="B501" s="6" t="s">
        <v>714</v>
      </c>
      <c r="C501" s="6" t="s">
        <v>756</v>
      </c>
      <c r="D501" s="6" t="s">
        <v>757</v>
      </c>
      <c r="E501" s="7" t="n">
        <v>7.4</v>
      </c>
      <c r="F501" s="7" t="n">
        <v>7.4</v>
      </c>
      <c r="G501" s="6" t="s">
        <v>105</v>
      </c>
      <c r="H501" s="7" t="n">
        <v>7.58</v>
      </c>
      <c r="I501" s="7"/>
      <c r="J501" s="7"/>
      <c r="K501" s="6" t="s">
        <v>106</v>
      </c>
      <c r="L501" s="6" t="s">
        <v>45</v>
      </c>
      <c r="M501" s="8" t="n">
        <f aca="false">IF(H501&lt;E501,(E501-H501)/H501,IF(H501&gt;F501,(F501-H501)/H501,0))</f>
        <v>-0.0237467018469657</v>
      </c>
      <c r="N501" s="9" t="s">
        <v>34</v>
      </c>
      <c r="O501" s="9" t="s">
        <v>34</v>
      </c>
    </row>
    <row r="502" customFormat="false" ht="15" hidden="false" customHeight="false" outlineLevel="0" collapsed="false">
      <c r="A502" s="6" t="s">
        <v>758</v>
      </c>
      <c r="B502" s="6" t="s">
        <v>714</v>
      </c>
      <c r="C502" s="6" t="s">
        <v>759</v>
      </c>
      <c r="D502" s="6" t="s">
        <v>575</v>
      </c>
      <c r="E502" s="7" t="n">
        <v>40.9</v>
      </c>
      <c r="F502" s="7" t="n">
        <v>47.5</v>
      </c>
      <c r="G502" s="6" t="s">
        <v>147</v>
      </c>
      <c r="H502" s="7" t="n">
        <v>15</v>
      </c>
      <c r="I502" s="7" t="n">
        <v>15</v>
      </c>
      <c r="J502" s="7" t="n">
        <v>19</v>
      </c>
      <c r="K502" s="6" t="s">
        <v>40</v>
      </c>
      <c r="L502" s="6" t="s">
        <v>33</v>
      </c>
      <c r="M502" s="8" t="n">
        <f aca="false">IF(H502&lt;E502,(E502-H502)/H502,IF(H502&gt;F502,(F502-H502)/H502,0))</f>
        <v>1.72666666666667</v>
      </c>
      <c r="N502" s="9" t="s">
        <v>34</v>
      </c>
      <c r="O502" s="9" t="s">
        <v>34</v>
      </c>
    </row>
    <row r="503" customFormat="false" ht="15" hidden="false" customHeight="false" outlineLevel="0" collapsed="false">
      <c r="A503" s="6" t="s">
        <v>758</v>
      </c>
      <c r="B503" s="6" t="s">
        <v>714</v>
      </c>
      <c r="C503" s="6" t="s">
        <v>759</v>
      </c>
      <c r="D503" s="6" t="s">
        <v>575</v>
      </c>
      <c r="E503" s="7" t="n">
        <v>40.9</v>
      </c>
      <c r="F503" s="7" t="n">
        <v>47.5</v>
      </c>
      <c r="G503" s="6" t="s">
        <v>105</v>
      </c>
      <c r="H503" s="7" t="n">
        <v>28.18</v>
      </c>
      <c r="I503" s="7"/>
      <c r="J503" s="7"/>
      <c r="K503" s="6" t="s">
        <v>106</v>
      </c>
      <c r="L503" s="6" t="s">
        <v>33</v>
      </c>
      <c r="M503" s="8" t="n">
        <f aca="false">IF(H503&lt;E503,(E503-H503)/H503,IF(H503&gt;F503,(F503-H503)/H503,0))</f>
        <v>0.4513839602555</v>
      </c>
      <c r="N503" s="9" t="s">
        <v>34</v>
      </c>
      <c r="O503" s="9" t="s">
        <v>34</v>
      </c>
    </row>
    <row r="504" customFormat="false" ht="15" hidden="false" customHeight="false" outlineLevel="0" collapsed="false">
      <c r="A504" s="6" t="s">
        <v>760</v>
      </c>
      <c r="B504" s="6" t="s">
        <v>714</v>
      </c>
      <c r="C504" s="6" t="s">
        <v>761</v>
      </c>
      <c r="D504" s="6" t="s">
        <v>762</v>
      </c>
      <c r="E504" s="7" t="n">
        <v>125</v>
      </c>
      <c r="F504" s="7" t="n">
        <v>129</v>
      </c>
      <c r="G504" s="6" t="s">
        <v>147</v>
      </c>
      <c r="H504" s="7" t="n">
        <v>89</v>
      </c>
      <c r="I504" s="7" t="n">
        <v>89</v>
      </c>
      <c r="J504" s="7" t="n">
        <v>105</v>
      </c>
      <c r="K504" s="6" t="s">
        <v>32</v>
      </c>
      <c r="L504" s="6" t="s">
        <v>33</v>
      </c>
      <c r="M504" s="8" t="n">
        <f aca="false">IF(H504&lt;E504,(E504-H504)/H504,IF(H504&gt;F504,(F504-H504)/H504,0))</f>
        <v>0.404494382022472</v>
      </c>
      <c r="N504" s="9" t="s">
        <v>34</v>
      </c>
      <c r="O504" s="9" t="s">
        <v>34</v>
      </c>
    </row>
    <row r="505" customFormat="false" ht="15" hidden="false" customHeight="false" outlineLevel="0" collapsed="false">
      <c r="A505" s="6" t="s">
        <v>763</v>
      </c>
      <c r="B505" s="6" t="s">
        <v>714</v>
      </c>
      <c r="C505" s="6" t="s">
        <v>764</v>
      </c>
      <c r="D505" s="6" t="s">
        <v>38</v>
      </c>
      <c r="E505" s="7" t="n">
        <v>69</v>
      </c>
      <c r="F505" s="7" t="n">
        <v>75</v>
      </c>
      <c r="G505" s="6" t="s">
        <v>147</v>
      </c>
      <c r="H505" s="7" t="n">
        <v>68</v>
      </c>
      <c r="I505" s="7" t="n">
        <v>68</v>
      </c>
      <c r="J505" s="7" t="n">
        <v>82</v>
      </c>
      <c r="K505" s="6" t="s">
        <v>32</v>
      </c>
      <c r="L505" s="6" t="s">
        <v>33</v>
      </c>
      <c r="M505" s="8" t="n">
        <f aca="false">IF(H505&lt;E505,(E505-H505)/H505,IF(H505&gt;F505,(F505-H505)/H505,0))</f>
        <v>0.0147058823529412</v>
      </c>
      <c r="N505" s="9" t="s">
        <v>34</v>
      </c>
      <c r="O505" s="9" t="s">
        <v>34</v>
      </c>
    </row>
    <row r="506" customFormat="false" ht="15" hidden="false" customHeight="false" outlineLevel="0" collapsed="false">
      <c r="A506" s="6" t="s">
        <v>763</v>
      </c>
      <c r="B506" s="6" t="s">
        <v>714</v>
      </c>
      <c r="C506" s="6" t="s">
        <v>764</v>
      </c>
      <c r="D506" s="6" t="s">
        <v>38</v>
      </c>
      <c r="E506" s="7" t="n">
        <v>69</v>
      </c>
      <c r="F506" s="7" t="n">
        <v>75</v>
      </c>
      <c r="G506" s="6" t="s">
        <v>716</v>
      </c>
      <c r="H506" s="7" t="n">
        <v>74</v>
      </c>
      <c r="I506" s="7"/>
      <c r="J506" s="7"/>
      <c r="K506" s="6" t="s">
        <v>32</v>
      </c>
      <c r="L506" s="6" t="s">
        <v>33</v>
      </c>
      <c r="M506" s="8" t="n">
        <f aca="false">IF(H506&lt;E506,(E506-H506)/H506,IF(H506&gt;F506,(F506-H506)/H506,0))</f>
        <v>0</v>
      </c>
      <c r="N506" s="9" t="s">
        <v>34</v>
      </c>
      <c r="O506" s="9" t="s">
        <v>34</v>
      </c>
    </row>
    <row r="507" customFormat="false" ht="15" hidden="false" customHeight="false" outlineLevel="0" collapsed="false">
      <c r="A507" s="6" t="s">
        <v>763</v>
      </c>
      <c r="B507" s="6" t="s">
        <v>714</v>
      </c>
      <c r="C507" s="6" t="s">
        <v>764</v>
      </c>
      <c r="D507" s="6" t="s">
        <v>38</v>
      </c>
      <c r="E507" s="7" t="n">
        <v>69</v>
      </c>
      <c r="F507" s="7" t="n">
        <v>75</v>
      </c>
      <c r="G507" s="6" t="s">
        <v>226</v>
      </c>
      <c r="H507" s="7" t="n">
        <v>61.75</v>
      </c>
      <c r="I507" s="7"/>
      <c r="J507" s="7"/>
      <c r="K507" s="6" t="s">
        <v>40</v>
      </c>
      <c r="L507" s="6" t="s">
        <v>33</v>
      </c>
      <c r="M507" s="8" t="n">
        <f aca="false">IF(H507&lt;E507,(E507-H507)/H507,IF(H507&gt;F507,(F507-H507)/H507,0))</f>
        <v>0.117408906882591</v>
      </c>
      <c r="N507" s="9" t="s">
        <v>34</v>
      </c>
      <c r="O507" s="9" t="s">
        <v>34</v>
      </c>
    </row>
    <row r="508" customFormat="false" ht="15" hidden="false" customHeight="false" outlineLevel="0" collapsed="false">
      <c r="A508" s="6" t="s">
        <v>765</v>
      </c>
      <c r="B508" s="6" t="s">
        <v>714</v>
      </c>
      <c r="C508" s="6" t="s">
        <v>766</v>
      </c>
      <c r="D508" s="6" t="s">
        <v>38</v>
      </c>
      <c r="E508" s="7" t="n">
        <v>14.95</v>
      </c>
      <c r="F508" s="7" t="n">
        <v>22.9</v>
      </c>
      <c r="G508" s="6" t="s">
        <v>105</v>
      </c>
      <c r="H508" s="7" t="n">
        <v>15.15</v>
      </c>
      <c r="I508" s="7"/>
      <c r="J508" s="7"/>
      <c r="K508" s="6" t="s">
        <v>106</v>
      </c>
      <c r="L508" s="6" t="s">
        <v>33</v>
      </c>
      <c r="M508" s="8" t="n">
        <f aca="false">IF(H508&lt;E508,(E508-H508)/H508,IF(H508&gt;F508,(F508-H508)/H508,0))</f>
        <v>0</v>
      </c>
      <c r="N508" s="9" t="s">
        <v>34</v>
      </c>
      <c r="O508" s="9" t="s">
        <v>34</v>
      </c>
    </row>
    <row r="509" customFormat="false" ht="15" hidden="false" customHeight="false" outlineLevel="0" collapsed="false">
      <c r="A509" s="6" t="s">
        <v>767</v>
      </c>
      <c r="B509" s="6" t="s">
        <v>714</v>
      </c>
      <c r="C509" s="6" t="s">
        <v>768</v>
      </c>
      <c r="D509" s="6" t="s">
        <v>757</v>
      </c>
      <c r="E509" s="7" t="n">
        <v>10.9</v>
      </c>
      <c r="F509" s="7" t="n">
        <v>11.5</v>
      </c>
      <c r="G509" s="6" t="s">
        <v>716</v>
      </c>
      <c r="H509" s="7" t="n">
        <v>35</v>
      </c>
      <c r="I509" s="7"/>
      <c r="J509" s="7"/>
      <c r="K509" s="6" t="s">
        <v>32</v>
      </c>
      <c r="L509" s="6" t="s">
        <v>93</v>
      </c>
      <c r="M509" s="8" t="n">
        <f aca="false">IF(H509&lt;E509,(E509-H509)/H509,IF(H509&gt;F509,(F509-H509)/H509,0))</f>
        <v>-0.671428571428571</v>
      </c>
      <c r="N509" s="9" t="s">
        <v>34</v>
      </c>
      <c r="O509" s="9" t="s">
        <v>34</v>
      </c>
    </row>
    <row r="510" customFormat="false" ht="15" hidden="false" customHeight="false" outlineLevel="0" collapsed="false">
      <c r="A510" s="6" t="s">
        <v>769</v>
      </c>
      <c r="B510" s="6" t="s">
        <v>714</v>
      </c>
      <c r="C510" s="6" t="s">
        <v>770</v>
      </c>
      <c r="D510" s="6" t="s">
        <v>38</v>
      </c>
      <c r="E510" s="7" t="n">
        <v>139</v>
      </c>
      <c r="F510" s="7" t="n">
        <v>139</v>
      </c>
      <c r="G510" s="6" t="s">
        <v>147</v>
      </c>
      <c r="H510" s="7" t="n">
        <v>110</v>
      </c>
      <c r="I510" s="7" t="n">
        <v>110</v>
      </c>
      <c r="J510" s="7" t="n">
        <v>115</v>
      </c>
      <c r="K510" s="6" t="s">
        <v>32</v>
      </c>
      <c r="L510" s="6" t="s">
        <v>33</v>
      </c>
      <c r="M510" s="8" t="n">
        <f aca="false">IF(H510&lt;E510,(E510-H510)/H510,IF(H510&gt;F510,(F510-H510)/H510,0))</f>
        <v>0.263636363636364</v>
      </c>
      <c r="N510" s="9" t="s">
        <v>34</v>
      </c>
      <c r="O510" s="9" t="s">
        <v>34</v>
      </c>
    </row>
    <row r="511" customFormat="false" ht="15" hidden="false" customHeight="false" outlineLevel="0" collapsed="false">
      <c r="A511" s="6" t="s">
        <v>769</v>
      </c>
      <c r="B511" s="6" t="s">
        <v>714</v>
      </c>
      <c r="C511" s="6" t="s">
        <v>770</v>
      </c>
      <c r="D511" s="6" t="s">
        <v>38</v>
      </c>
      <c r="E511" s="7" t="n">
        <v>139</v>
      </c>
      <c r="F511" s="7" t="n">
        <v>139</v>
      </c>
      <c r="G511" s="6" t="s">
        <v>105</v>
      </c>
      <c r="H511" s="7" t="n">
        <v>111</v>
      </c>
      <c r="I511" s="7"/>
      <c r="J511" s="7"/>
      <c r="K511" s="6" t="s">
        <v>106</v>
      </c>
      <c r="L511" s="6" t="s">
        <v>33</v>
      </c>
      <c r="M511" s="8" t="n">
        <f aca="false">IF(H511&lt;E511,(E511-H511)/H511,IF(H511&gt;F511,(F511-H511)/H511,0))</f>
        <v>0.252252252252252</v>
      </c>
      <c r="N511" s="9" t="s">
        <v>34</v>
      </c>
      <c r="O511" s="9" t="s">
        <v>34</v>
      </c>
    </row>
    <row r="512" customFormat="false" ht="15" hidden="false" customHeight="false" outlineLevel="0" collapsed="false">
      <c r="A512" s="6" t="s">
        <v>769</v>
      </c>
      <c r="B512" s="6" t="s">
        <v>714</v>
      </c>
      <c r="C512" s="6" t="s">
        <v>770</v>
      </c>
      <c r="D512" s="6" t="s">
        <v>38</v>
      </c>
      <c r="E512" s="7" t="n">
        <v>139</v>
      </c>
      <c r="F512" s="7" t="n">
        <v>139</v>
      </c>
      <c r="G512" s="6" t="s">
        <v>716</v>
      </c>
      <c r="H512" s="7" t="n">
        <v>116</v>
      </c>
      <c r="I512" s="7"/>
      <c r="J512" s="7"/>
      <c r="K512" s="6" t="s">
        <v>32</v>
      </c>
      <c r="L512" s="6" t="s">
        <v>33</v>
      </c>
      <c r="M512" s="8" t="n">
        <f aca="false">IF(H512&lt;E512,(E512-H512)/H512,IF(H512&gt;F512,(F512-H512)/H512,0))</f>
        <v>0.198275862068966</v>
      </c>
      <c r="N512" s="9" t="s">
        <v>34</v>
      </c>
      <c r="O512" s="9" t="s">
        <v>34</v>
      </c>
    </row>
    <row r="513" customFormat="false" ht="15" hidden="false" customHeight="false" outlineLevel="0" collapsed="false">
      <c r="A513" s="6" t="s">
        <v>771</v>
      </c>
      <c r="B513" s="6" t="s">
        <v>714</v>
      </c>
      <c r="C513" s="6" t="s">
        <v>772</v>
      </c>
      <c r="D513" s="6" t="s">
        <v>757</v>
      </c>
      <c r="E513" s="7" t="n">
        <v>11.5</v>
      </c>
      <c r="F513" s="7" t="n">
        <v>14.5</v>
      </c>
      <c r="G513" s="6" t="s">
        <v>716</v>
      </c>
      <c r="H513" s="7" t="n">
        <v>41.5</v>
      </c>
      <c r="I513" s="7"/>
      <c r="J513" s="7"/>
      <c r="K513" s="6" t="s">
        <v>32</v>
      </c>
      <c r="L513" s="6" t="s">
        <v>93</v>
      </c>
      <c r="M513" s="8" t="n">
        <f aca="false">IF(H513&lt;E513,(E513-H513)/H513,IF(H513&gt;F513,(F513-H513)/H513,0))</f>
        <v>-0.650602409638554</v>
      </c>
      <c r="N513" s="9" t="s">
        <v>34</v>
      </c>
      <c r="O513" s="9" t="s">
        <v>34</v>
      </c>
    </row>
    <row r="514" customFormat="false" ht="15" hidden="false" customHeight="false" outlineLevel="0" collapsed="false">
      <c r="A514" s="6" t="s">
        <v>773</v>
      </c>
      <c r="B514" s="6" t="s">
        <v>714</v>
      </c>
      <c r="C514" s="6" t="s">
        <v>774</v>
      </c>
      <c r="D514" s="6" t="s">
        <v>775</v>
      </c>
      <c r="E514" s="7" t="n">
        <v>25</v>
      </c>
      <c r="F514" s="7" t="n">
        <v>28.95</v>
      </c>
      <c r="G514" s="6" t="s">
        <v>147</v>
      </c>
      <c r="H514" s="7" t="n">
        <v>21</v>
      </c>
      <c r="I514" s="7" t="n">
        <v>21</v>
      </c>
      <c r="J514" s="7" t="n">
        <v>27</v>
      </c>
      <c r="K514" s="6" t="s">
        <v>32</v>
      </c>
      <c r="L514" s="6" t="s">
        <v>33</v>
      </c>
      <c r="M514" s="8" t="n">
        <f aca="false">IF(H514&lt;E514,(E514-H514)/H514,IF(H514&gt;F514,(F514-H514)/H514,0))</f>
        <v>0.19047619047619</v>
      </c>
      <c r="N514" s="9" t="s">
        <v>34</v>
      </c>
      <c r="O514" s="9" t="s">
        <v>34</v>
      </c>
    </row>
    <row r="515" customFormat="false" ht="15" hidden="false" customHeight="false" outlineLevel="0" collapsed="false">
      <c r="A515" s="6" t="s">
        <v>776</v>
      </c>
      <c r="B515" s="6" t="s">
        <v>714</v>
      </c>
      <c r="C515" s="6" t="s">
        <v>777</v>
      </c>
      <c r="D515" s="6" t="s">
        <v>723</v>
      </c>
      <c r="E515" s="7" t="n">
        <v>110</v>
      </c>
      <c r="F515" s="7" t="n">
        <v>122</v>
      </c>
      <c r="G515" s="6" t="s">
        <v>716</v>
      </c>
      <c r="H515" s="7" t="n">
        <v>119</v>
      </c>
      <c r="I515" s="7"/>
      <c r="J515" s="7"/>
      <c r="K515" s="6" t="s">
        <v>32</v>
      </c>
      <c r="L515" s="6" t="s">
        <v>33</v>
      </c>
      <c r="M515" s="8" t="n">
        <f aca="false">IF(H515&lt;E515,(E515-H515)/H515,IF(H515&gt;F515,(F515-H515)/H515,0))</f>
        <v>0</v>
      </c>
      <c r="N515" s="9" t="s">
        <v>34</v>
      </c>
      <c r="O515" s="9" t="s">
        <v>34</v>
      </c>
    </row>
    <row r="516" customFormat="false" ht="15" hidden="false" customHeight="false" outlineLevel="0" collapsed="false">
      <c r="A516" s="6" t="s">
        <v>778</v>
      </c>
      <c r="B516" s="6" t="s">
        <v>714</v>
      </c>
      <c r="C516" s="6" t="s">
        <v>779</v>
      </c>
      <c r="D516" s="6" t="s">
        <v>38</v>
      </c>
      <c r="E516" s="7" t="n">
        <v>139</v>
      </c>
      <c r="F516" s="7" t="n">
        <v>139</v>
      </c>
      <c r="G516" s="6" t="s">
        <v>147</v>
      </c>
      <c r="H516" s="7" t="n">
        <v>112</v>
      </c>
      <c r="I516" s="7"/>
      <c r="J516" s="7"/>
      <c r="K516" s="6" t="s">
        <v>32</v>
      </c>
      <c r="L516" s="6" t="s">
        <v>93</v>
      </c>
      <c r="M516" s="8" t="n">
        <f aca="false">IF(H516&lt;E516,(E516-H516)/H516,IF(H516&gt;F516,(F516-H516)/H516,0))</f>
        <v>0.241071428571429</v>
      </c>
      <c r="N516" s="9" t="s">
        <v>34</v>
      </c>
      <c r="O516" s="9" t="s">
        <v>34</v>
      </c>
    </row>
    <row r="517" customFormat="false" ht="15" hidden="false" customHeight="false" outlineLevel="0" collapsed="false">
      <c r="A517" s="6" t="s">
        <v>778</v>
      </c>
      <c r="B517" s="6" t="s">
        <v>714</v>
      </c>
      <c r="C517" s="6" t="s">
        <v>779</v>
      </c>
      <c r="D517" s="6" t="s">
        <v>38</v>
      </c>
      <c r="E517" s="7" t="n">
        <v>139</v>
      </c>
      <c r="F517" s="7" t="n">
        <v>139</v>
      </c>
      <c r="G517" s="6" t="s">
        <v>105</v>
      </c>
      <c r="H517" s="7" t="n">
        <v>151.4</v>
      </c>
      <c r="I517" s="7"/>
      <c r="J517" s="7"/>
      <c r="K517" s="6" t="s">
        <v>106</v>
      </c>
      <c r="L517" s="6" t="s">
        <v>93</v>
      </c>
      <c r="M517" s="8" t="n">
        <f aca="false">IF(H517&lt;E517,(E517-H517)/H517,IF(H517&gt;F517,(F517-H517)/H517,0))</f>
        <v>-0.0819022457067372</v>
      </c>
      <c r="N517" s="9" t="s">
        <v>34</v>
      </c>
      <c r="O517" s="9" t="s">
        <v>34</v>
      </c>
    </row>
    <row r="518" customFormat="false" ht="15" hidden="false" customHeight="false" outlineLevel="0" collapsed="false">
      <c r="A518" s="6" t="s">
        <v>780</v>
      </c>
      <c r="B518" s="6" t="s">
        <v>714</v>
      </c>
      <c r="C518" s="6" t="s">
        <v>781</v>
      </c>
      <c r="D518" s="6" t="s">
        <v>38</v>
      </c>
      <c r="E518" s="7" t="n">
        <v>179</v>
      </c>
      <c r="F518" s="7" t="n">
        <v>179</v>
      </c>
      <c r="G518" s="6" t="s">
        <v>105</v>
      </c>
      <c r="H518" s="7" t="n">
        <v>151.4</v>
      </c>
      <c r="I518" s="7"/>
      <c r="J518" s="7"/>
      <c r="K518" s="6" t="s">
        <v>106</v>
      </c>
      <c r="L518" s="6" t="s">
        <v>93</v>
      </c>
      <c r="M518" s="8" t="n">
        <f aca="false">IF(H518&lt;E518,(E518-H518)/H518,IF(H518&gt;F518,(F518-H518)/H518,0))</f>
        <v>0.182298546895641</v>
      </c>
      <c r="N518" s="9" t="s">
        <v>34</v>
      </c>
      <c r="O518" s="9" t="s">
        <v>34</v>
      </c>
    </row>
    <row r="519" customFormat="false" ht="15" hidden="false" customHeight="false" outlineLevel="0" collapsed="false">
      <c r="A519" s="6" t="s">
        <v>782</v>
      </c>
      <c r="B519" s="6" t="s">
        <v>783</v>
      </c>
      <c r="C519" s="6" t="s">
        <v>784</v>
      </c>
      <c r="D519" s="6" t="s">
        <v>52</v>
      </c>
      <c r="E519" s="7" t="n">
        <v>6.5</v>
      </c>
      <c r="F519" s="7" t="n">
        <v>6.5</v>
      </c>
      <c r="G519" s="6" t="s">
        <v>31</v>
      </c>
      <c r="H519" s="7" t="n">
        <v>14.99</v>
      </c>
      <c r="I519" s="7"/>
      <c r="J519" s="7"/>
      <c r="K519" s="6" t="s">
        <v>40</v>
      </c>
      <c r="L519" s="6" t="s">
        <v>33</v>
      </c>
      <c r="M519" s="8" t="n">
        <f aca="false">IF(H519&lt;E519,(E519-H519)/H519,IF(H519&gt;F519,(F519-H519)/H519,0))</f>
        <v>-0.566377585056704</v>
      </c>
      <c r="N519" s="9" t="s">
        <v>34</v>
      </c>
      <c r="O519" s="9" t="s">
        <v>34</v>
      </c>
    </row>
    <row r="520" customFormat="false" ht="15" hidden="false" customHeight="false" outlineLevel="0" collapsed="false">
      <c r="A520" s="6" t="s">
        <v>785</v>
      </c>
      <c r="B520" s="6" t="s">
        <v>783</v>
      </c>
      <c r="C520" s="6" t="s">
        <v>786</v>
      </c>
      <c r="D520" s="6" t="s">
        <v>52</v>
      </c>
      <c r="E520" s="7" t="n">
        <v>14.5</v>
      </c>
      <c r="F520" s="7" t="n">
        <v>14.5</v>
      </c>
      <c r="G520" s="6" t="s">
        <v>31</v>
      </c>
      <c r="H520" s="7" t="n">
        <v>14.99</v>
      </c>
      <c r="I520" s="7"/>
      <c r="J520" s="7"/>
      <c r="K520" s="6" t="s">
        <v>40</v>
      </c>
      <c r="L520" s="6" t="s">
        <v>93</v>
      </c>
      <c r="M520" s="8" t="n">
        <f aca="false">IF(H520&lt;E520,(E520-H520)/H520,IF(H520&gt;F520,(F520-H520)/H520,0))</f>
        <v>-0.0326884589726484</v>
      </c>
      <c r="N520" s="9" t="s">
        <v>34</v>
      </c>
      <c r="O520" s="9" t="s">
        <v>34</v>
      </c>
    </row>
  </sheetData>
  <autoFilter ref="A1:O520"/>
  <conditionalFormatting sqref="M2:M520">
    <cfRule type="cellIs" priority="2" operator="greaterThan" aboveAverage="0" equalAverage="0" bottom="0" percent="0" rank="0" text="" dxfId="6">
      <formula>0.02</formula>
    </cfRule>
    <cfRule type="cellIs" priority="3" operator="lessThan" aboveAverage="0" equalAverage="0" bottom="0" percent="0" rank="0" text="" dxfId="7">
      <formula>-0.02</formula>
    </cfRule>
  </conditionalFormatting>
  <hyperlinks>
    <hyperlink ref="N2" r:id="rId1" display="apri"/>
    <hyperlink ref="O2" r:id="rId2" display="apri"/>
    <hyperlink ref="N3" r:id="rId3" display="apri"/>
    <hyperlink ref="O3" r:id="rId4" display="apri"/>
    <hyperlink ref="N4" r:id="rId5" display="apri"/>
    <hyperlink ref="O4" r:id="rId6" display="apri"/>
    <hyperlink ref="N5" r:id="rId7" display="apri"/>
    <hyperlink ref="O5" r:id="rId8" display="apri"/>
    <hyperlink ref="N6" r:id="rId9" display="apri"/>
    <hyperlink ref="O6" r:id="rId10" display="apri"/>
    <hyperlink ref="N7" r:id="rId11" display="apri"/>
    <hyperlink ref="O7" r:id="rId12" display="apri"/>
    <hyperlink ref="N8" r:id="rId13" display="apri"/>
    <hyperlink ref="O8" r:id="rId14" display="apri"/>
    <hyperlink ref="N9" r:id="rId15" display="apri"/>
    <hyperlink ref="O9" r:id="rId16" display="apri"/>
    <hyperlink ref="N10" r:id="rId17" display="apri"/>
    <hyperlink ref="O10" r:id="rId18" display="apri"/>
    <hyperlink ref="N11" r:id="rId19" display="apri"/>
    <hyperlink ref="O11" r:id="rId20" display="apri"/>
    <hyperlink ref="N12" r:id="rId21" display="apri"/>
    <hyperlink ref="O12" r:id="rId22" display="apri"/>
    <hyperlink ref="N13" r:id="rId23" display="apri"/>
    <hyperlink ref="O13" r:id="rId24" display="apri"/>
    <hyperlink ref="N14" r:id="rId25" display="apri"/>
    <hyperlink ref="O14" r:id="rId26" display="apri"/>
    <hyperlink ref="N15" r:id="rId27" display="apri"/>
    <hyperlink ref="O15" r:id="rId28" display="apri"/>
    <hyperlink ref="N16" r:id="rId29" display="apri"/>
    <hyperlink ref="O16" r:id="rId30" display="apri"/>
    <hyperlink ref="N17" r:id="rId31" display="apri"/>
    <hyperlink ref="O17" r:id="rId32" display="apri"/>
    <hyperlink ref="N18" r:id="rId33" display="apri"/>
    <hyperlink ref="O18" r:id="rId34" display="apri"/>
    <hyperlink ref="N19" r:id="rId35" display="apri"/>
    <hyperlink ref="O19" r:id="rId36" display="apri"/>
    <hyperlink ref="N20" r:id="rId37" display="apri"/>
    <hyperlink ref="O20" r:id="rId38" display="apri"/>
    <hyperlink ref="N21" r:id="rId39" display="apri"/>
    <hyperlink ref="O21" r:id="rId40" display="apri"/>
    <hyperlink ref="N22" r:id="rId41" display="apri"/>
    <hyperlink ref="O22" r:id="rId42" display="apri"/>
    <hyperlink ref="N23" r:id="rId43" display="apri"/>
    <hyperlink ref="O23" r:id="rId44" display="apri"/>
    <hyperlink ref="N24" r:id="rId45" display="apri"/>
    <hyperlink ref="O24" r:id="rId46" display="apri"/>
    <hyperlink ref="N25" r:id="rId47" display="apri"/>
    <hyperlink ref="O25" r:id="rId48" display="apri"/>
    <hyperlink ref="N26" r:id="rId49" display="apri"/>
    <hyperlink ref="O26" r:id="rId50" display="apri"/>
    <hyperlink ref="N27" r:id="rId51" display="apri"/>
    <hyperlink ref="O27" r:id="rId52" display="apri"/>
    <hyperlink ref="N28" r:id="rId53" display="apri"/>
    <hyperlink ref="O28" r:id="rId54" display="apri"/>
    <hyperlink ref="N29" r:id="rId55" display="apri"/>
    <hyperlink ref="O29" r:id="rId56" display="apri"/>
    <hyperlink ref="N30" r:id="rId57" display="apri"/>
    <hyperlink ref="O30" r:id="rId58" display="apri"/>
    <hyperlink ref="N31" r:id="rId59" display="apri"/>
    <hyperlink ref="O31" r:id="rId60" display="apri"/>
    <hyperlink ref="N32" r:id="rId61" display="apri"/>
    <hyperlink ref="O32" r:id="rId62" display="apri"/>
    <hyperlink ref="N33" r:id="rId63" display="apri"/>
    <hyperlink ref="O33" r:id="rId64" display="apri"/>
    <hyperlink ref="N34" r:id="rId65" display="apri"/>
    <hyperlink ref="O34" r:id="rId66" display="apri"/>
    <hyperlink ref="N35" r:id="rId67" display="apri"/>
    <hyperlink ref="O35" r:id="rId68" display="apri"/>
    <hyperlink ref="N36" r:id="rId69" display="apri"/>
    <hyperlink ref="O36" r:id="rId70" display="apri"/>
    <hyperlink ref="N37" r:id="rId71" display="apri"/>
    <hyperlink ref="O37" r:id="rId72" display="apri"/>
    <hyperlink ref="N38" r:id="rId73" display="apri"/>
    <hyperlink ref="O38" r:id="rId74" display="apri"/>
    <hyperlink ref="N39" r:id="rId75" display="apri"/>
    <hyperlink ref="O39" r:id="rId76" display="apri"/>
    <hyperlink ref="N40" r:id="rId77" display="apri"/>
    <hyperlink ref="O40" r:id="rId78" display="apri"/>
    <hyperlink ref="N41" r:id="rId79" display="apri"/>
    <hyperlink ref="O41" r:id="rId80" display="apri"/>
    <hyperlink ref="N42" r:id="rId81" display="apri"/>
    <hyperlink ref="O42" r:id="rId82" display="apri"/>
    <hyperlink ref="N43" r:id="rId83" display="apri"/>
    <hyperlink ref="O43" r:id="rId84" display="apri"/>
    <hyperlink ref="N44" r:id="rId85" display="apri"/>
    <hyperlink ref="O44" r:id="rId86" display="apri"/>
    <hyperlink ref="N45" r:id="rId87" display="apri"/>
    <hyperlink ref="O45" r:id="rId88" display="apri"/>
    <hyperlink ref="N46" r:id="rId89" display="apri"/>
    <hyperlink ref="O46" r:id="rId90" display="apri"/>
    <hyperlink ref="N47" r:id="rId91" display="apri"/>
    <hyperlink ref="O47" r:id="rId92" display="apri"/>
    <hyperlink ref="N48" r:id="rId93" display="apri"/>
    <hyperlink ref="O48" r:id="rId94" display="apri"/>
    <hyperlink ref="N49" r:id="rId95" display="apri"/>
    <hyperlink ref="O49" r:id="rId96" display="apri"/>
    <hyperlink ref="N50" r:id="rId97" display="apri"/>
    <hyperlink ref="O50" r:id="rId98" display="apri"/>
    <hyperlink ref="N51" r:id="rId99" display="apri"/>
    <hyperlink ref="O51" r:id="rId100" display="apri"/>
    <hyperlink ref="N52" r:id="rId101" display="apri"/>
    <hyperlink ref="O52" r:id="rId102" display="apri"/>
    <hyperlink ref="N53" r:id="rId103" display="apri"/>
    <hyperlink ref="O53" r:id="rId104" display="apri"/>
    <hyperlink ref="N54" r:id="rId105" display="apri"/>
    <hyperlink ref="O54" r:id="rId106" display="apri"/>
    <hyperlink ref="N55" r:id="rId107" display="apri"/>
    <hyperlink ref="O55" r:id="rId108" display="apri"/>
    <hyperlink ref="N56" r:id="rId109" display="apri"/>
    <hyperlink ref="O56" r:id="rId110" display="apri"/>
    <hyperlink ref="N57" r:id="rId111" display="apri"/>
    <hyperlink ref="O57" r:id="rId112" display="apri"/>
    <hyperlink ref="N58" r:id="rId113" display="apri"/>
    <hyperlink ref="O58" r:id="rId114" display="apri"/>
    <hyperlink ref="N59" r:id="rId115" display="apri"/>
    <hyperlink ref="O59" r:id="rId116" display="apri"/>
    <hyperlink ref="N60" r:id="rId117" display="apri"/>
    <hyperlink ref="O60" r:id="rId118" display="apri"/>
    <hyperlink ref="N61" r:id="rId119" display="apri"/>
    <hyperlink ref="O61" r:id="rId120" display="apri"/>
    <hyperlink ref="N62" r:id="rId121" display="apri"/>
    <hyperlink ref="O62" r:id="rId122" display="apri"/>
    <hyperlink ref="N63" r:id="rId123" display="apri"/>
    <hyperlink ref="O63" r:id="rId124" display="apri"/>
    <hyperlink ref="N64" r:id="rId125" display="apri"/>
    <hyperlink ref="O64" r:id="rId126" display="apri"/>
    <hyperlink ref="N65" r:id="rId127" display="apri"/>
    <hyperlink ref="O65" r:id="rId128" display="apri"/>
    <hyperlink ref="N66" r:id="rId129" display="apri"/>
    <hyperlink ref="O66" r:id="rId130" display="apri"/>
    <hyperlink ref="N67" r:id="rId131" display="apri"/>
    <hyperlink ref="O67" r:id="rId132" display="apri"/>
    <hyperlink ref="N68" r:id="rId133" display="apri"/>
    <hyperlink ref="O68" r:id="rId134" display="apri"/>
    <hyperlink ref="N69" r:id="rId135" display="apri"/>
    <hyperlink ref="O69" r:id="rId136" display="apri"/>
    <hyperlink ref="N70" r:id="rId137" display="apri"/>
    <hyperlink ref="O70" r:id="rId138" display="apri"/>
    <hyperlink ref="N71" r:id="rId139" display="apri"/>
    <hyperlink ref="O71" r:id="rId140" display="apri"/>
    <hyperlink ref="N72" r:id="rId141" display="apri"/>
    <hyperlink ref="O72" r:id="rId142" display="apri"/>
    <hyperlink ref="N73" r:id="rId143" display="apri"/>
    <hyperlink ref="O73" r:id="rId144" display="apri"/>
    <hyperlink ref="N74" r:id="rId145" display="apri"/>
    <hyperlink ref="O74" r:id="rId146" display="apri"/>
    <hyperlink ref="N75" r:id="rId147" display="apri"/>
    <hyperlink ref="O75" r:id="rId148" display="apri"/>
    <hyperlink ref="N76" r:id="rId149" display="apri"/>
    <hyperlink ref="O76" r:id="rId150" display="apri"/>
    <hyperlink ref="N77" r:id="rId151" display="apri"/>
    <hyperlink ref="O77" r:id="rId152" display="apri"/>
    <hyperlink ref="N78" r:id="rId153" display="apri"/>
    <hyperlink ref="O78" r:id="rId154" display="apri"/>
    <hyperlink ref="N79" r:id="rId155" display="apri"/>
    <hyperlink ref="O79" r:id="rId156" display="apri"/>
    <hyperlink ref="N80" r:id="rId157" display="apri"/>
    <hyperlink ref="O80" r:id="rId158" display="apri"/>
    <hyperlink ref="N81" r:id="rId159" display="apri"/>
    <hyperlink ref="O81" r:id="rId160" display="apri"/>
    <hyperlink ref="N82" r:id="rId161" display="apri"/>
    <hyperlink ref="O82" r:id="rId162" display="apri"/>
    <hyperlink ref="N83" r:id="rId163" display="apri"/>
    <hyperlink ref="O83" r:id="rId164" display="apri"/>
    <hyperlink ref="N84" r:id="rId165" display="apri"/>
    <hyperlink ref="O84" r:id="rId166" display="apri"/>
    <hyperlink ref="N85" r:id="rId167" display="apri"/>
    <hyperlink ref="O85" r:id="rId168" display="apri"/>
    <hyperlink ref="N86" r:id="rId169" display="apri"/>
    <hyperlink ref="O86" r:id="rId170" display="apri"/>
    <hyperlink ref="N87" r:id="rId171" display="apri"/>
    <hyperlink ref="O87" r:id="rId172" display="apri"/>
    <hyperlink ref="N88" r:id="rId173" display="apri"/>
    <hyperlink ref="O88" r:id="rId174" display="apri"/>
    <hyperlink ref="N89" r:id="rId175" display="apri"/>
    <hyperlink ref="O89" r:id="rId176" display="apri"/>
    <hyperlink ref="N90" r:id="rId177" display="apri"/>
    <hyperlink ref="O90" r:id="rId178" display="apri"/>
    <hyperlink ref="N91" r:id="rId179" display="apri"/>
    <hyperlink ref="O91" r:id="rId180" display="apri"/>
    <hyperlink ref="N92" r:id="rId181" display="apri"/>
    <hyperlink ref="O92" r:id="rId182" display="apri"/>
    <hyperlink ref="N93" r:id="rId183" display="apri"/>
    <hyperlink ref="O93" r:id="rId184" display="apri"/>
    <hyperlink ref="N94" r:id="rId185" display="apri"/>
    <hyperlink ref="O94" r:id="rId186" display="apri"/>
    <hyperlink ref="N95" r:id="rId187" display="apri"/>
    <hyperlink ref="O95" r:id="rId188" display="apri"/>
    <hyperlink ref="N96" r:id="rId189" display="apri"/>
    <hyperlink ref="O96" r:id="rId190" display="apri"/>
    <hyperlink ref="N97" r:id="rId191" display="apri"/>
    <hyperlink ref="O97" r:id="rId192" display="apri"/>
    <hyperlink ref="N98" r:id="rId193" display="apri"/>
    <hyperlink ref="O98" r:id="rId194" display="apri"/>
    <hyperlink ref="N99" r:id="rId195" display="apri"/>
    <hyperlink ref="O99" r:id="rId196" display="apri"/>
    <hyperlink ref="N100" r:id="rId197" display="apri"/>
    <hyperlink ref="O100" r:id="rId198" display="apri"/>
    <hyperlink ref="N101" r:id="rId199" display="apri"/>
    <hyperlink ref="O101" r:id="rId200" display="apri"/>
    <hyperlink ref="N102" r:id="rId201" display="apri"/>
    <hyperlink ref="O102" r:id="rId202" display="apri"/>
    <hyperlink ref="N103" r:id="rId203" display="apri"/>
    <hyperlink ref="O103" r:id="rId204" display="apri"/>
    <hyperlink ref="N104" r:id="rId205" display="apri"/>
    <hyperlink ref="O104" r:id="rId206" display="apri"/>
    <hyperlink ref="N105" r:id="rId207" display="apri"/>
    <hyperlink ref="O105" r:id="rId208" display="apri"/>
    <hyperlink ref="N106" r:id="rId209" display="apri"/>
    <hyperlink ref="O106" r:id="rId210" display="apri"/>
    <hyperlink ref="N107" r:id="rId211" display="apri"/>
    <hyperlink ref="O107" r:id="rId212" display="apri"/>
    <hyperlink ref="N108" r:id="rId213" display="apri"/>
    <hyperlink ref="O108" r:id="rId214" display="apri"/>
    <hyperlink ref="N109" r:id="rId215" display="apri"/>
    <hyperlink ref="O109" r:id="rId216" display="apri"/>
    <hyperlink ref="N110" r:id="rId217" display="apri"/>
    <hyperlink ref="O110" r:id="rId218" display="apri"/>
    <hyperlink ref="N111" r:id="rId219" display="apri"/>
    <hyperlink ref="O111" r:id="rId220" display="apri"/>
    <hyperlink ref="N112" r:id="rId221" display="apri"/>
    <hyperlink ref="O112" r:id="rId222" display="apri"/>
    <hyperlink ref="N113" r:id="rId223" display="apri"/>
    <hyperlink ref="O113" r:id="rId224" display="apri"/>
    <hyperlink ref="N114" r:id="rId225" display="apri"/>
    <hyperlink ref="O114" r:id="rId226" display="apri"/>
    <hyperlink ref="N115" r:id="rId227" display="apri"/>
    <hyperlink ref="O115" r:id="rId228" display="apri"/>
    <hyperlink ref="N116" r:id="rId229" display="apri"/>
    <hyperlink ref="O116" r:id="rId230" display="apri"/>
    <hyperlink ref="N117" r:id="rId231" display="apri"/>
    <hyperlink ref="O117" r:id="rId232" display="apri"/>
    <hyperlink ref="N118" r:id="rId233" display="apri"/>
    <hyperlink ref="O118" r:id="rId234" display="apri"/>
    <hyperlink ref="N119" r:id="rId235" display="apri"/>
    <hyperlink ref="O119" r:id="rId236" display="apri"/>
    <hyperlink ref="N120" r:id="rId237" display="apri"/>
    <hyperlink ref="O120" r:id="rId238" display="apri"/>
    <hyperlink ref="N121" r:id="rId239" display="apri"/>
    <hyperlink ref="O121" r:id="rId240" display="apri"/>
    <hyperlink ref="N122" r:id="rId241" display="apri"/>
    <hyperlink ref="O122" r:id="rId242" display="apri"/>
    <hyperlink ref="N123" r:id="rId243" display="apri"/>
    <hyperlink ref="O123" r:id="rId244" display="apri"/>
    <hyperlink ref="N124" r:id="rId245" display="apri"/>
    <hyperlink ref="O124" r:id="rId246" display="apri"/>
    <hyperlink ref="N125" r:id="rId247" display="apri"/>
    <hyperlink ref="O125" r:id="rId248" display="apri"/>
    <hyperlink ref="N126" r:id="rId249" display="apri"/>
    <hyperlink ref="O126" r:id="rId250" display="apri"/>
    <hyperlink ref="N127" r:id="rId251" display="apri"/>
    <hyperlink ref="O127" r:id="rId252" display="apri"/>
    <hyperlink ref="N128" r:id="rId253" display="apri"/>
    <hyperlink ref="O128" r:id="rId254" display="apri"/>
    <hyperlink ref="N129" r:id="rId255" display="apri"/>
    <hyperlink ref="O129" r:id="rId256" display="apri"/>
    <hyperlink ref="N130" r:id="rId257" display="apri"/>
    <hyperlink ref="O130" r:id="rId258" display="apri"/>
    <hyperlink ref="N131" r:id="rId259" display="apri"/>
    <hyperlink ref="O131" r:id="rId260" display="apri"/>
    <hyperlink ref="N132" r:id="rId261" display="apri"/>
    <hyperlink ref="O132" r:id="rId262" display="apri"/>
    <hyperlink ref="N133" r:id="rId263" display="apri"/>
    <hyperlink ref="O133" r:id="rId264" display="apri"/>
    <hyperlink ref="N134" r:id="rId265" display="apri"/>
    <hyperlink ref="O134" r:id="rId266" display="apri"/>
    <hyperlink ref="N135" r:id="rId267" display="apri"/>
    <hyperlink ref="O135" r:id="rId268" display="apri"/>
    <hyperlink ref="N136" r:id="rId269" display="apri"/>
    <hyperlink ref="O136" r:id="rId270" display="apri"/>
    <hyperlink ref="N137" r:id="rId271" display="apri"/>
    <hyperlink ref="O137" r:id="rId272" display="apri"/>
    <hyperlink ref="N138" r:id="rId273" display="apri"/>
    <hyperlink ref="O138" r:id="rId274" display="apri"/>
    <hyperlink ref="N139" r:id="rId275" display="apri"/>
    <hyperlink ref="O139" r:id="rId276" display="apri"/>
    <hyperlink ref="N140" r:id="rId277" display="apri"/>
    <hyperlink ref="O140" r:id="rId278" display="apri"/>
    <hyperlink ref="N141" r:id="rId279" display="apri"/>
    <hyperlink ref="O141" r:id="rId280" display="apri"/>
    <hyperlink ref="N142" r:id="rId281" display="apri"/>
    <hyperlink ref="O142" r:id="rId282" display="apri"/>
    <hyperlink ref="N143" r:id="rId283" display="apri"/>
    <hyperlink ref="O143" r:id="rId284" display="apri"/>
    <hyperlink ref="N144" r:id="rId285" display="apri"/>
    <hyperlink ref="O144" r:id="rId286" display="apri"/>
    <hyperlink ref="N145" r:id="rId287" display="apri"/>
    <hyperlink ref="O145" r:id="rId288" display="apri"/>
    <hyperlink ref="N146" r:id="rId289" display="apri"/>
    <hyperlink ref="O146" r:id="rId290" display="apri"/>
    <hyperlink ref="N147" r:id="rId291" display="apri"/>
    <hyperlink ref="O147" r:id="rId292" display="apri"/>
    <hyperlink ref="N148" r:id="rId293" display="apri"/>
    <hyperlink ref="O148" r:id="rId294" display="apri"/>
    <hyperlink ref="N149" r:id="rId295" display="apri"/>
    <hyperlink ref="O149" r:id="rId296" display="apri"/>
    <hyperlink ref="N150" r:id="rId297" display="apri"/>
    <hyperlink ref="O150" r:id="rId298" display="apri"/>
    <hyperlink ref="N151" r:id="rId299" display="apri"/>
    <hyperlink ref="O151" r:id="rId300" display="apri"/>
    <hyperlink ref="N152" r:id="rId301" display="apri"/>
    <hyperlink ref="O152" r:id="rId302" display="apri"/>
    <hyperlink ref="N153" r:id="rId303" display="apri"/>
    <hyperlink ref="O153" r:id="rId304" display="apri"/>
    <hyperlink ref="N154" r:id="rId305" display="apri"/>
    <hyperlink ref="O154" r:id="rId306" display="apri"/>
    <hyperlink ref="N155" r:id="rId307" display="apri"/>
    <hyperlink ref="O155" r:id="rId308" display="apri"/>
    <hyperlink ref="N156" r:id="rId309" display="apri"/>
    <hyperlink ref="O156" r:id="rId310" display="apri"/>
    <hyperlink ref="N157" r:id="rId311" display="apri"/>
    <hyperlink ref="O157" r:id="rId312" display="apri"/>
    <hyperlink ref="N158" r:id="rId313" display="apri"/>
    <hyperlink ref="O158" r:id="rId314" display="apri"/>
    <hyperlink ref="N159" r:id="rId315" display="apri"/>
    <hyperlink ref="O159" r:id="rId316" display="apri"/>
    <hyperlink ref="N160" r:id="rId317" display="apri"/>
    <hyperlink ref="O160" r:id="rId318" display="apri"/>
    <hyperlink ref="N161" r:id="rId319" display="apri"/>
    <hyperlink ref="O161" r:id="rId320" display="apri"/>
    <hyperlink ref="N162" r:id="rId321" display="apri"/>
    <hyperlink ref="O162" r:id="rId322" display="apri"/>
    <hyperlink ref="N163" r:id="rId323" display="apri"/>
    <hyperlink ref="O163" r:id="rId324" display="apri"/>
    <hyperlink ref="N164" r:id="rId325" display="apri"/>
    <hyperlink ref="O164" r:id="rId326" display="apri"/>
    <hyperlink ref="N165" r:id="rId327" display="apri"/>
    <hyperlink ref="O165" r:id="rId328" display="apri"/>
    <hyperlink ref="N166" r:id="rId329" display="apri"/>
    <hyperlink ref="O166" r:id="rId330" display="apri"/>
    <hyperlink ref="N167" r:id="rId331" display="apri"/>
    <hyperlink ref="O167" r:id="rId332" display="apri"/>
    <hyperlink ref="N168" r:id="rId333" display="apri"/>
    <hyperlink ref="O168" r:id="rId334" display="apri"/>
    <hyperlink ref="N169" r:id="rId335" display="apri"/>
    <hyperlink ref="O169" r:id="rId336" display="apri"/>
    <hyperlink ref="N170" r:id="rId337" display="apri"/>
    <hyperlink ref="O170" r:id="rId338" display="apri"/>
    <hyperlink ref="N171" r:id="rId339" display="apri"/>
    <hyperlink ref="O171" r:id="rId340" display="apri"/>
    <hyperlink ref="N172" r:id="rId341" display="apri"/>
    <hyperlink ref="O172" r:id="rId342" display="apri"/>
    <hyperlink ref="N173" r:id="rId343" display="apri"/>
    <hyperlink ref="O173" r:id="rId344" display="apri"/>
    <hyperlink ref="N174" r:id="rId345" display="apri"/>
    <hyperlink ref="O174" r:id="rId346" display="apri"/>
    <hyperlink ref="N175" r:id="rId347" display="apri"/>
    <hyperlink ref="O175" r:id="rId348" display="apri"/>
    <hyperlink ref="N176" r:id="rId349" display="apri"/>
    <hyperlink ref="O176" r:id="rId350" display="apri"/>
    <hyperlink ref="N177" r:id="rId351" display="apri"/>
    <hyperlink ref="O177" r:id="rId352" display="apri"/>
    <hyperlink ref="N178" r:id="rId353" display="apri"/>
    <hyperlink ref="O178" r:id="rId354" display="apri"/>
    <hyperlink ref="N179" r:id="rId355" display="apri"/>
    <hyperlink ref="O179" r:id="rId356" display="apri"/>
    <hyperlink ref="N180" r:id="rId357" display="apri"/>
    <hyperlink ref="O180" r:id="rId358" display="apri"/>
    <hyperlink ref="N181" r:id="rId359" display="apri"/>
    <hyperlink ref="O181" r:id="rId360" display="apri"/>
    <hyperlink ref="N182" r:id="rId361" display="apri"/>
    <hyperlink ref="O182" r:id="rId362" display="apri"/>
    <hyperlink ref="N183" r:id="rId363" display="apri"/>
    <hyperlink ref="O183" r:id="rId364" display="apri"/>
    <hyperlink ref="N184" r:id="rId365" display="apri"/>
    <hyperlink ref="O184" r:id="rId366" display="apri"/>
    <hyperlink ref="N185" r:id="rId367" display="apri"/>
    <hyperlink ref="O185" r:id="rId368" display="apri"/>
    <hyperlink ref="N186" r:id="rId369" display="apri"/>
    <hyperlink ref="O186" r:id="rId370" display="apri"/>
    <hyperlink ref="N187" r:id="rId371" display="apri"/>
    <hyperlink ref="O187" r:id="rId372" display="apri"/>
    <hyperlink ref="N188" r:id="rId373" display="apri"/>
    <hyperlink ref="O188" r:id="rId374" display="apri"/>
    <hyperlink ref="N189" r:id="rId375" display="apri"/>
    <hyperlink ref="O189" r:id="rId376" display="apri"/>
    <hyperlink ref="N190" r:id="rId377" display="apri"/>
    <hyperlink ref="O190" r:id="rId378" display="apri"/>
    <hyperlink ref="N191" r:id="rId379" display="apri"/>
    <hyperlink ref="O191" r:id="rId380" display="apri"/>
    <hyperlink ref="N192" r:id="rId381" display="apri"/>
    <hyperlink ref="O192" r:id="rId382" display="apri"/>
    <hyperlink ref="N193" r:id="rId383" display="apri"/>
    <hyperlink ref="O193" r:id="rId384" display="apri"/>
    <hyperlink ref="N194" r:id="rId385" display="apri"/>
    <hyperlink ref="O194" r:id="rId386" display="apri"/>
    <hyperlink ref="N195" r:id="rId387" display="apri"/>
    <hyperlink ref="O195" r:id="rId388" display="apri"/>
    <hyperlink ref="N196" r:id="rId389" display="apri"/>
    <hyperlink ref="O196" r:id="rId390" display="apri"/>
    <hyperlink ref="N197" r:id="rId391" display="apri"/>
    <hyperlink ref="O197" r:id="rId392" display="apri"/>
    <hyperlink ref="N198" r:id="rId393" display="apri"/>
    <hyperlink ref="O198" r:id="rId394" display="apri"/>
    <hyperlink ref="N199" r:id="rId395" display="apri"/>
    <hyperlink ref="O199" r:id="rId396" display="apri"/>
    <hyperlink ref="N200" r:id="rId397" display="apri"/>
    <hyperlink ref="O200" r:id="rId398" display="apri"/>
    <hyperlink ref="N201" r:id="rId399" display="apri"/>
    <hyperlink ref="O201" r:id="rId400" display="apri"/>
    <hyperlink ref="N202" r:id="rId401" display="apri"/>
    <hyperlink ref="O202" r:id="rId402" display="apri"/>
    <hyperlink ref="N203" r:id="rId403" display="apri"/>
    <hyperlink ref="O203" r:id="rId404" display="apri"/>
    <hyperlink ref="N204" r:id="rId405" display="apri"/>
    <hyperlink ref="O204" r:id="rId406" display="apri"/>
    <hyperlink ref="N205" r:id="rId407" display="apri"/>
    <hyperlink ref="O205" r:id="rId408" display="apri"/>
    <hyperlink ref="N206" r:id="rId409" display="apri"/>
    <hyperlink ref="O206" r:id="rId410" display="apri"/>
    <hyperlink ref="N207" r:id="rId411" display="apri"/>
    <hyperlink ref="O207" r:id="rId412" display="apri"/>
    <hyperlink ref="N208" r:id="rId413" display="apri"/>
    <hyperlink ref="O208" r:id="rId414" display="apri"/>
    <hyperlink ref="N209" r:id="rId415" display="apri"/>
    <hyperlink ref="O209" r:id="rId416" display="apri"/>
    <hyperlink ref="N210" r:id="rId417" display="apri"/>
    <hyperlink ref="O210" r:id="rId418" display="apri"/>
    <hyperlink ref="N211" r:id="rId419" display="apri"/>
    <hyperlink ref="O211" r:id="rId420" display="apri"/>
    <hyperlink ref="N212" r:id="rId421" display="apri"/>
    <hyperlink ref="O212" r:id="rId422" display="apri"/>
    <hyperlink ref="N213" r:id="rId423" display="apri"/>
    <hyperlink ref="O213" r:id="rId424" display="apri"/>
    <hyperlink ref="N214" r:id="rId425" display="apri"/>
    <hyperlink ref="O214" r:id="rId426" display="apri"/>
    <hyperlink ref="N215" r:id="rId427" display="apri"/>
    <hyperlink ref="O215" r:id="rId428" display="apri"/>
    <hyperlink ref="N216" r:id="rId429" display="apri"/>
    <hyperlink ref="O216" r:id="rId430" display="apri"/>
    <hyperlink ref="N217" r:id="rId431" display="apri"/>
    <hyperlink ref="O217" r:id="rId432" display="apri"/>
    <hyperlink ref="N218" r:id="rId433" display="apri"/>
    <hyperlink ref="O218" r:id="rId434" display="apri"/>
    <hyperlink ref="N219" r:id="rId435" display="apri"/>
    <hyperlink ref="O219" r:id="rId436" display="apri"/>
    <hyperlink ref="N220" r:id="rId437" display="apri"/>
    <hyperlink ref="O220" r:id="rId438" display="apri"/>
    <hyperlink ref="N221" r:id="rId439" display="apri"/>
    <hyperlink ref="O221" r:id="rId440" display="apri"/>
    <hyperlink ref="N222" r:id="rId441" display="apri"/>
    <hyperlink ref="O222" r:id="rId442" display="apri"/>
    <hyperlink ref="N223" r:id="rId443" display="apri"/>
    <hyperlink ref="O223" r:id="rId444" display="apri"/>
    <hyperlink ref="N224" r:id="rId445" display="apri"/>
    <hyperlink ref="O224" r:id="rId446" display="apri"/>
    <hyperlink ref="N225" r:id="rId447" display="apri"/>
    <hyperlink ref="O225" r:id="rId448" display="apri"/>
    <hyperlink ref="N226" r:id="rId449" display="apri"/>
    <hyperlink ref="O226" r:id="rId450" display="apri"/>
    <hyperlink ref="N227" r:id="rId451" display="apri"/>
    <hyperlink ref="O227" r:id="rId452" display="apri"/>
    <hyperlink ref="N228" r:id="rId453" display="apri"/>
    <hyperlink ref="O228" r:id="rId454" display="apri"/>
    <hyperlink ref="N229" r:id="rId455" display="apri"/>
    <hyperlink ref="O229" r:id="rId456" display="apri"/>
    <hyperlink ref="N230" r:id="rId457" display="apri"/>
    <hyperlink ref="O230" r:id="rId458" display="apri"/>
    <hyperlink ref="N231" r:id="rId459" display="apri"/>
    <hyperlink ref="O231" r:id="rId460" display="apri"/>
    <hyperlink ref="N232" r:id="rId461" display="apri"/>
    <hyperlink ref="O232" r:id="rId462" display="apri"/>
    <hyperlink ref="N233" r:id="rId463" display="apri"/>
    <hyperlink ref="O233" r:id="rId464" display="apri"/>
    <hyperlink ref="N234" r:id="rId465" display="apri"/>
    <hyperlink ref="O234" r:id="rId466" display="apri"/>
    <hyperlink ref="N235" r:id="rId467" display="apri"/>
    <hyperlink ref="O235" r:id="rId468" display="apri"/>
    <hyperlink ref="N236" r:id="rId469" display="apri"/>
    <hyperlink ref="O236" r:id="rId470" display="apri"/>
    <hyperlink ref="N237" r:id="rId471" display="apri"/>
    <hyperlink ref="O237" r:id="rId472" display="apri"/>
    <hyperlink ref="N238" r:id="rId473" display="apri"/>
    <hyperlink ref="O238" r:id="rId474" display="apri"/>
    <hyperlink ref="N239" r:id="rId475" display="apri"/>
    <hyperlink ref="O239" r:id="rId476" display="apri"/>
    <hyperlink ref="N240" r:id="rId477" display="apri"/>
    <hyperlink ref="O240" r:id="rId478" display="apri"/>
    <hyperlink ref="N241" r:id="rId479" display="apri"/>
    <hyperlink ref="O241" r:id="rId480" display="apri"/>
    <hyperlink ref="N242" r:id="rId481" display="apri"/>
    <hyperlink ref="O242" r:id="rId482" display="apri"/>
    <hyperlink ref="N243" r:id="rId483" display="apri"/>
    <hyperlink ref="O243" r:id="rId484" display="apri"/>
    <hyperlink ref="N244" r:id="rId485" display="apri"/>
    <hyperlink ref="O244" r:id="rId486" display="apri"/>
    <hyperlink ref="N245" r:id="rId487" display="apri"/>
    <hyperlink ref="O245" r:id="rId488" display="apri"/>
    <hyperlink ref="N246" r:id="rId489" display="apri"/>
    <hyperlink ref="O246" r:id="rId490" display="apri"/>
    <hyperlink ref="N247" r:id="rId491" display="apri"/>
    <hyperlink ref="O247" r:id="rId492" display="apri"/>
    <hyperlink ref="N248" r:id="rId493" display="apri"/>
    <hyperlink ref="O248" r:id="rId494" display="apri"/>
    <hyperlink ref="N249" r:id="rId495" display="apri"/>
    <hyperlink ref="O249" r:id="rId496" display="apri"/>
    <hyperlink ref="N250" r:id="rId497" display="apri"/>
    <hyperlink ref="O250" r:id="rId498" display="apri"/>
    <hyperlink ref="N251" r:id="rId499" display="apri"/>
    <hyperlink ref="O251" r:id="rId500" display="apri"/>
    <hyperlink ref="N252" r:id="rId501" display="apri"/>
    <hyperlink ref="O252" r:id="rId502" display="apri"/>
    <hyperlink ref="N253" r:id="rId503" display="apri"/>
    <hyperlink ref="O253" r:id="rId504" display="apri"/>
    <hyperlink ref="N254" r:id="rId505" display="apri"/>
    <hyperlink ref="O254" r:id="rId506" display="apri"/>
    <hyperlink ref="N255" r:id="rId507" display="apri"/>
    <hyperlink ref="O255" r:id="rId508" display="apri"/>
    <hyperlink ref="N256" r:id="rId509" display="apri"/>
    <hyperlink ref="O256" r:id="rId510" display="apri"/>
    <hyperlink ref="N257" r:id="rId511" display="apri"/>
    <hyperlink ref="O257" r:id="rId512" display="apri"/>
    <hyperlink ref="N258" r:id="rId513" display="apri"/>
    <hyperlink ref="O258" r:id="rId514" display="apri"/>
    <hyperlink ref="N259" r:id="rId515" display="apri"/>
    <hyperlink ref="O259" r:id="rId516" display="apri"/>
    <hyperlink ref="N260" r:id="rId517" display="apri"/>
    <hyperlink ref="O260" r:id="rId518" display="apri"/>
    <hyperlink ref="N261" r:id="rId519" display="apri"/>
    <hyperlink ref="O261" r:id="rId520" display="apri"/>
    <hyperlink ref="N262" r:id="rId521" display="apri"/>
    <hyperlink ref="O262" r:id="rId522" display="apri"/>
    <hyperlink ref="N263" r:id="rId523" display="apri"/>
    <hyperlink ref="O263" r:id="rId524" display="apri"/>
    <hyperlink ref="N264" r:id="rId525" display="apri"/>
    <hyperlink ref="O264" r:id="rId526" display="apri"/>
    <hyperlink ref="N265" r:id="rId527" display="apri"/>
    <hyperlink ref="O265" r:id="rId528" display="apri"/>
    <hyperlink ref="N266" r:id="rId529" display="apri"/>
    <hyperlink ref="O266" r:id="rId530" display="apri"/>
    <hyperlink ref="N267" r:id="rId531" display="apri"/>
    <hyperlink ref="O267" r:id="rId532" display="apri"/>
    <hyperlink ref="N268" r:id="rId533" display="apri"/>
    <hyperlink ref="O268" r:id="rId534" display="apri"/>
    <hyperlink ref="N269" r:id="rId535" display="apri"/>
    <hyperlink ref="O269" r:id="rId536" display="apri"/>
    <hyperlink ref="N270" r:id="rId537" display="apri"/>
    <hyperlink ref="O270" r:id="rId538" display="apri"/>
    <hyperlink ref="N271" r:id="rId539" display="apri"/>
    <hyperlink ref="O271" r:id="rId540" display="apri"/>
    <hyperlink ref="N272" r:id="rId541" display="apri"/>
    <hyperlink ref="O272" r:id="rId542" display="apri"/>
    <hyperlink ref="N273" r:id="rId543" display="apri"/>
    <hyperlink ref="O273" r:id="rId544" display="apri"/>
    <hyperlink ref="N274" r:id="rId545" display="apri"/>
    <hyperlink ref="O274" r:id="rId546" display="apri"/>
    <hyperlink ref="N275" r:id="rId547" display="apri"/>
    <hyperlink ref="O275" r:id="rId548" display="apri"/>
    <hyperlink ref="N276" r:id="rId549" display="apri"/>
    <hyperlink ref="O276" r:id="rId550" display="apri"/>
    <hyperlink ref="N277" r:id="rId551" display="apri"/>
    <hyperlink ref="O277" r:id="rId552" display="apri"/>
    <hyperlink ref="N278" r:id="rId553" display="apri"/>
    <hyperlink ref="O278" r:id="rId554" display="apri"/>
    <hyperlink ref="N279" r:id="rId555" display="apri"/>
    <hyperlink ref="O279" r:id="rId556" display="apri"/>
    <hyperlink ref="N280" r:id="rId557" display="apri"/>
    <hyperlink ref="O280" r:id="rId558" display="apri"/>
    <hyperlink ref="N281" r:id="rId559" display="apri"/>
    <hyperlink ref="O281" r:id="rId560" display="apri"/>
    <hyperlink ref="N282" r:id="rId561" display="apri"/>
    <hyperlink ref="O282" r:id="rId562" display="apri"/>
    <hyperlink ref="N283" r:id="rId563" display="apri"/>
    <hyperlink ref="O283" r:id="rId564" display="apri"/>
    <hyperlink ref="N284" r:id="rId565" display="apri"/>
    <hyperlink ref="O284" r:id="rId566" display="apri"/>
    <hyperlink ref="N285" r:id="rId567" display="apri"/>
    <hyperlink ref="O285" r:id="rId568" display="apri"/>
    <hyperlink ref="N286" r:id="rId569" display="apri"/>
    <hyperlink ref="O286" r:id="rId570" display="apri"/>
    <hyperlink ref="N287" r:id="rId571" display="apri"/>
    <hyperlink ref="O287" r:id="rId572" display="apri"/>
    <hyperlink ref="N288" r:id="rId573" display="apri"/>
    <hyperlink ref="O288" r:id="rId574" display="apri"/>
    <hyperlink ref="N289" r:id="rId575" display="apri"/>
    <hyperlink ref="O289" r:id="rId576" display="apri"/>
    <hyperlink ref="N290" r:id="rId577" display="apri"/>
    <hyperlink ref="O290" r:id="rId578" display="apri"/>
    <hyperlink ref="N291" r:id="rId579" display="apri"/>
    <hyperlink ref="O291" r:id="rId580" display="apri"/>
    <hyperlink ref="N292" r:id="rId581" display="apri"/>
    <hyperlink ref="O292" r:id="rId582" display="apri"/>
    <hyperlink ref="N293" r:id="rId583" display="apri"/>
    <hyperlink ref="O293" r:id="rId584" display="apri"/>
    <hyperlink ref="N294" r:id="rId585" display="apri"/>
    <hyperlink ref="O294" r:id="rId586" display="apri"/>
    <hyperlink ref="N295" r:id="rId587" display="apri"/>
    <hyperlink ref="O295" r:id="rId588" display="apri"/>
    <hyperlink ref="N296" r:id="rId589" display="apri"/>
    <hyperlink ref="O296" r:id="rId590" display="apri"/>
    <hyperlink ref="N297" r:id="rId591" display="apri"/>
    <hyperlink ref="O297" r:id="rId592" display="apri"/>
    <hyperlink ref="N298" r:id="rId593" display="apri"/>
    <hyperlink ref="O298" r:id="rId594" display="apri"/>
    <hyperlink ref="N299" r:id="rId595" display="apri"/>
    <hyperlink ref="O299" r:id="rId596" display="apri"/>
    <hyperlink ref="N300" r:id="rId597" display="apri"/>
    <hyperlink ref="O300" r:id="rId598" display="apri"/>
    <hyperlink ref="N301" r:id="rId599" display="apri"/>
    <hyperlink ref="O301" r:id="rId600" display="apri"/>
    <hyperlink ref="N302" r:id="rId601" display="apri"/>
    <hyperlink ref="O302" r:id="rId602" display="apri"/>
    <hyperlink ref="N303" r:id="rId603" display="apri"/>
    <hyperlink ref="O303" r:id="rId604" display="apri"/>
    <hyperlink ref="N304" r:id="rId605" display="apri"/>
    <hyperlink ref="O304" r:id="rId606" display="apri"/>
    <hyperlink ref="N305" r:id="rId607" display="apri"/>
    <hyperlink ref="O305" r:id="rId608" display="apri"/>
    <hyperlink ref="N306" r:id="rId609" display="apri"/>
    <hyperlink ref="O306" r:id="rId610" display="apri"/>
    <hyperlink ref="N307" r:id="rId611" display="apri"/>
    <hyperlink ref="O307" r:id="rId612" display="apri"/>
    <hyperlink ref="N308" r:id="rId613" display="apri"/>
    <hyperlink ref="O308" r:id="rId614" display="apri"/>
    <hyperlink ref="N309" r:id="rId615" display="apri"/>
    <hyperlink ref="O309" r:id="rId616" display="apri"/>
    <hyperlink ref="N310" r:id="rId617" display="apri"/>
    <hyperlink ref="O310" r:id="rId618" display="apri"/>
    <hyperlink ref="N311" r:id="rId619" display="apri"/>
    <hyperlink ref="O311" r:id="rId620" display="apri"/>
    <hyperlink ref="N312" r:id="rId621" display="apri"/>
    <hyperlink ref="O312" r:id="rId622" display="apri"/>
    <hyperlink ref="N313" r:id="rId623" display="apri"/>
    <hyperlink ref="O313" r:id="rId624" display="apri"/>
    <hyperlink ref="N314" r:id="rId625" display="apri"/>
    <hyperlink ref="O314" r:id="rId626" display="apri"/>
    <hyperlink ref="N315" r:id="rId627" display="apri"/>
    <hyperlink ref="O315" r:id="rId628" display="apri"/>
    <hyperlink ref="N316" r:id="rId629" display="apri"/>
    <hyperlink ref="O316" r:id="rId630" display="apri"/>
    <hyperlink ref="N317" r:id="rId631" display="apri"/>
    <hyperlink ref="O317" r:id="rId632" display="apri"/>
    <hyperlink ref="N318" r:id="rId633" display="apri"/>
    <hyperlink ref="O318" r:id="rId634" display="apri"/>
    <hyperlink ref="N319" r:id="rId635" display="apri"/>
    <hyperlink ref="O319" r:id="rId636" display="apri"/>
    <hyperlink ref="N320" r:id="rId637" display="apri"/>
    <hyperlink ref="O320" r:id="rId638" display="apri"/>
    <hyperlink ref="N321" r:id="rId639" display="apri"/>
    <hyperlink ref="O321" r:id="rId640" display="apri"/>
    <hyperlink ref="N322" r:id="rId641" display="apri"/>
    <hyperlink ref="O322" r:id="rId642" display="apri"/>
    <hyperlink ref="N323" r:id="rId643" display="apri"/>
    <hyperlink ref="O323" r:id="rId644" display="apri"/>
    <hyperlink ref="N324" r:id="rId645" display="apri"/>
    <hyperlink ref="O324" r:id="rId646" display="apri"/>
    <hyperlink ref="N325" r:id="rId647" display="apri"/>
    <hyperlink ref="O325" r:id="rId648" display="apri"/>
    <hyperlink ref="N326" r:id="rId649" display="apri"/>
    <hyperlink ref="O326" r:id="rId650" display="apri"/>
    <hyperlink ref="N327" r:id="rId651" display="apri"/>
    <hyperlink ref="O327" r:id="rId652" display="apri"/>
    <hyperlink ref="N328" r:id="rId653" display="apri"/>
    <hyperlink ref="O328" r:id="rId654" display="apri"/>
    <hyperlink ref="N329" r:id="rId655" display="apri"/>
    <hyperlink ref="O329" r:id="rId656" display="apri"/>
    <hyperlink ref="N330" r:id="rId657" display="apri"/>
    <hyperlink ref="O330" r:id="rId658" display="apri"/>
    <hyperlink ref="N331" r:id="rId659" display="apri"/>
    <hyperlink ref="O331" r:id="rId660" display="apri"/>
    <hyperlink ref="N332" r:id="rId661" display="apri"/>
    <hyperlink ref="O332" r:id="rId662" display="apri"/>
    <hyperlink ref="N333" r:id="rId663" display="apri"/>
    <hyperlink ref="O333" r:id="rId664" display="apri"/>
    <hyperlink ref="N334" r:id="rId665" display="apri"/>
    <hyperlink ref="O334" r:id="rId666" display="apri"/>
    <hyperlink ref="N335" r:id="rId667" display="apri"/>
    <hyperlink ref="O335" r:id="rId668" display="apri"/>
    <hyperlink ref="N336" r:id="rId669" display="apri"/>
    <hyperlink ref="O336" r:id="rId670" display="apri"/>
    <hyperlink ref="N337" r:id="rId671" display="apri"/>
    <hyperlink ref="O337" r:id="rId672" display="apri"/>
    <hyperlink ref="N338" r:id="rId673" display="apri"/>
    <hyperlink ref="O338" r:id="rId674" display="apri"/>
    <hyperlink ref="N339" r:id="rId675" display="apri"/>
    <hyperlink ref="O339" r:id="rId676" display="apri"/>
    <hyperlink ref="N340" r:id="rId677" display="apri"/>
    <hyperlink ref="O340" r:id="rId678" display="apri"/>
    <hyperlink ref="N341" r:id="rId679" display="apri"/>
    <hyperlink ref="O341" r:id="rId680" display="apri"/>
    <hyperlink ref="N342" r:id="rId681" display="apri"/>
    <hyperlink ref="O342" r:id="rId682" display="apri"/>
    <hyperlink ref="N343" r:id="rId683" display="apri"/>
    <hyperlink ref="O343" r:id="rId684" display="apri"/>
    <hyperlink ref="N344" r:id="rId685" display="apri"/>
    <hyperlink ref="O344" r:id="rId686" display="apri"/>
    <hyperlink ref="N345" r:id="rId687" display="apri"/>
    <hyperlink ref="O345" r:id="rId688" display="apri"/>
    <hyperlink ref="N346" r:id="rId689" display="apri"/>
    <hyperlink ref="O346" r:id="rId690" display="apri"/>
    <hyperlink ref="N347" r:id="rId691" display="apri"/>
    <hyperlink ref="O347" r:id="rId692" display="apri"/>
    <hyperlink ref="N348" r:id="rId693" display="apri"/>
    <hyperlink ref="O348" r:id="rId694" display="apri"/>
    <hyperlink ref="N349" r:id="rId695" display="apri"/>
    <hyperlink ref="O349" r:id="rId696" display="apri"/>
    <hyperlink ref="N350" r:id="rId697" display="apri"/>
    <hyperlink ref="O350" r:id="rId698" display="apri"/>
    <hyperlink ref="N351" r:id="rId699" display="apri"/>
    <hyperlink ref="O351" r:id="rId700" display="apri"/>
    <hyperlink ref="N352" r:id="rId701" display="apri"/>
    <hyperlink ref="O352" r:id="rId702" display="apri"/>
    <hyperlink ref="N353" r:id="rId703" display="apri"/>
    <hyperlink ref="O353" r:id="rId704" display="apri"/>
    <hyperlink ref="N354" r:id="rId705" display="apri"/>
    <hyperlink ref="O354" r:id="rId706" display="apri"/>
    <hyperlink ref="N355" r:id="rId707" display="apri"/>
    <hyperlink ref="O355" r:id="rId708" display="apri"/>
    <hyperlink ref="N356" r:id="rId709" display="apri"/>
    <hyperlink ref="O356" r:id="rId710" display="apri"/>
    <hyperlink ref="N357" r:id="rId711" display="apri"/>
    <hyperlink ref="O357" r:id="rId712" display="apri"/>
    <hyperlink ref="N358" r:id="rId713" display="apri"/>
    <hyperlink ref="O358" r:id="rId714" display="apri"/>
    <hyperlink ref="N359" r:id="rId715" display="apri"/>
    <hyperlink ref="O359" r:id="rId716" display="apri"/>
    <hyperlink ref="N360" r:id="rId717" display="apri"/>
    <hyperlink ref="O360" r:id="rId718" display="apri"/>
    <hyperlink ref="N361" r:id="rId719" display="apri"/>
    <hyperlink ref="O361" r:id="rId720" display="apri"/>
    <hyperlink ref="N362" r:id="rId721" display="apri"/>
    <hyperlink ref="O362" r:id="rId722" display="apri"/>
    <hyperlink ref="N363" r:id="rId723" display="apri"/>
    <hyperlink ref="O363" r:id="rId724" display="apri"/>
    <hyperlink ref="N364" r:id="rId725" display="apri"/>
    <hyperlink ref="O364" r:id="rId726" display="apri"/>
    <hyperlink ref="N365" r:id="rId727" display="apri"/>
    <hyperlink ref="O365" r:id="rId728" display="apri"/>
    <hyperlink ref="N366" r:id="rId729" display="apri"/>
    <hyperlink ref="O366" r:id="rId730" display="apri"/>
    <hyperlink ref="N367" r:id="rId731" display="apri"/>
    <hyperlink ref="O367" r:id="rId732" display="apri"/>
    <hyperlink ref="N368" r:id="rId733" display="apri"/>
    <hyperlink ref="O368" r:id="rId734" display="apri"/>
    <hyperlink ref="N369" r:id="rId735" display="apri"/>
    <hyperlink ref="O369" r:id="rId736" display="apri"/>
    <hyperlink ref="N370" r:id="rId737" display="apri"/>
    <hyperlink ref="O370" r:id="rId738" display="apri"/>
    <hyperlink ref="N371" r:id="rId739" display="apri"/>
    <hyperlink ref="O371" r:id="rId740" display="apri"/>
    <hyperlink ref="N372" r:id="rId741" display="apri"/>
    <hyperlink ref="O372" r:id="rId742" display="apri"/>
    <hyperlink ref="N373" r:id="rId743" display="apri"/>
    <hyperlink ref="O373" r:id="rId744" display="apri"/>
    <hyperlink ref="N374" r:id="rId745" display="apri"/>
    <hyperlink ref="O374" r:id="rId746" display="apri"/>
    <hyperlink ref="N375" r:id="rId747" display="apri"/>
    <hyperlink ref="O375" r:id="rId748" display="apri"/>
    <hyperlink ref="N376" r:id="rId749" display="apri"/>
    <hyperlink ref="O376" r:id="rId750" display="apri"/>
    <hyperlink ref="N377" r:id="rId751" display="apri"/>
    <hyperlink ref="O377" r:id="rId752" display="apri"/>
    <hyperlink ref="N378" r:id="rId753" display="apri"/>
    <hyperlink ref="O378" r:id="rId754" display="apri"/>
    <hyperlink ref="N379" r:id="rId755" display="apri"/>
    <hyperlink ref="O379" r:id="rId756" display="apri"/>
    <hyperlink ref="N380" r:id="rId757" display="apri"/>
    <hyperlink ref="O380" r:id="rId758" display="apri"/>
    <hyperlink ref="N381" r:id="rId759" display="apri"/>
    <hyperlink ref="O381" r:id="rId760" display="apri"/>
    <hyperlink ref="N382" r:id="rId761" display="apri"/>
    <hyperlink ref="O382" r:id="rId762" display="apri"/>
    <hyperlink ref="N383" r:id="rId763" display="apri"/>
    <hyperlink ref="O383" r:id="rId764" display="apri"/>
    <hyperlink ref="N384" r:id="rId765" display="apri"/>
    <hyperlink ref="O384" r:id="rId766" display="apri"/>
    <hyperlink ref="N385" r:id="rId767" display="apri"/>
    <hyperlink ref="O385" r:id="rId768" display="apri"/>
    <hyperlink ref="N386" r:id="rId769" display="apri"/>
    <hyperlink ref="O386" r:id="rId770" display="apri"/>
    <hyperlink ref="N387" r:id="rId771" display="apri"/>
    <hyperlink ref="O387" r:id="rId772" display="apri"/>
    <hyperlink ref="N388" r:id="rId773" display="apri"/>
    <hyperlink ref="O388" r:id="rId774" display="apri"/>
    <hyperlink ref="N389" r:id="rId775" display="apri"/>
    <hyperlink ref="O389" r:id="rId776" display="apri"/>
    <hyperlink ref="N390" r:id="rId777" display="apri"/>
    <hyperlink ref="O390" r:id="rId778" display="apri"/>
    <hyperlink ref="N391" r:id="rId779" display="apri"/>
    <hyperlink ref="O391" r:id="rId780" display="apri"/>
    <hyperlink ref="N392" r:id="rId781" display="apri"/>
    <hyperlink ref="O392" r:id="rId782" display="apri"/>
    <hyperlink ref="N393" r:id="rId783" display="apri"/>
    <hyperlink ref="O393" r:id="rId784" display="apri"/>
    <hyperlink ref="N394" r:id="rId785" display="apri"/>
    <hyperlink ref="O394" r:id="rId786" display="apri"/>
    <hyperlink ref="N395" r:id="rId787" display="apri"/>
    <hyperlink ref="O395" r:id="rId788" display="apri"/>
    <hyperlink ref="N396" r:id="rId789" display="apri"/>
    <hyperlink ref="O396" r:id="rId790" display="apri"/>
    <hyperlink ref="N397" r:id="rId791" display="apri"/>
    <hyperlink ref="O397" r:id="rId792" display="apri"/>
    <hyperlink ref="N398" r:id="rId793" display="apri"/>
    <hyperlink ref="O398" r:id="rId794" display="apri"/>
    <hyperlink ref="N399" r:id="rId795" display="apri"/>
    <hyperlink ref="O399" r:id="rId796" display="apri"/>
    <hyperlink ref="N400" r:id="rId797" display="apri"/>
    <hyperlink ref="O400" r:id="rId798" display="apri"/>
    <hyperlink ref="N401" r:id="rId799" display="apri"/>
    <hyperlink ref="O401" r:id="rId800" display="apri"/>
    <hyperlink ref="N402" r:id="rId801" display="apri"/>
    <hyperlink ref="O402" r:id="rId802" display="apri"/>
    <hyperlink ref="N403" r:id="rId803" display="apri"/>
    <hyperlink ref="O403" r:id="rId804" display="apri"/>
    <hyperlink ref="N404" r:id="rId805" display="apri"/>
    <hyperlink ref="O404" r:id="rId806" display="apri"/>
    <hyperlink ref="N405" r:id="rId807" display="apri"/>
    <hyperlink ref="O405" r:id="rId808" display="apri"/>
    <hyperlink ref="N406" r:id="rId809" display="apri"/>
    <hyperlink ref="O406" r:id="rId810" display="apri"/>
    <hyperlink ref="N407" r:id="rId811" display="apri"/>
    <hyperlink ref="O407" r:id="rId812" display="apri"/>
    <hyperlink ref="N408" r:id="rId813" display="apri"/>
    <hyperlink ref="O408" r:id="rId814" display="apri"/>
    <hyperlink ref="N409" r:id="rId815" display="apri"/>
    <hyperlink ref="O409" r:id="rId816" display="apri"/>
    <hyperlink ref="N410" r:id="rId817" display="apri"/>
    <hyperlink ref="O410" r:id="rId818" display="apri"/>
    <hyperlink ref="N411" r:id="rId819" display="apri"/>
    <hyperlink ref="O411" r:id="rId820" display="apri"/>
    <hyperlink ref="N412" r:id="rId821" display="apri"/>
    <hyperlink ref="O412" r:id="rId822" display="apri"/>
    <hyperlink ref="N413" r:id="rId823" display="apri"/>
    <hyperlink ref="O413" r:id="rId824" display="apri"/>
    <hyperlink ref="N414" r:id="rId825" display="apri"/>
    <hyperlink ref="O414" r:id="rId826" display="apri"/>
    <hyperlink ref="N415" r:id="rId827" display="apri"/>
    <hyperlink ref="O415" r:id="rId828" display="apri"/>
    <hyperlink ref="N416" r:id="rId829" display="apri"/>
    <hyperlink ref="O416" r:id="rId830" display="apri"/>
    <hyperlink ref="N417" r:id="rId831" display="apri"/>
    <hyperlink ref="O417" r:id="rId832" display="apri"/>
    <hyperlink ref="N418" r:id="rId833" display="apri"/>
    <hyperlink ref="O418" r:id="rId834" display="apri"/>
    <hyperlink ref="N419" r:id="rId835" display="apri"/>
    <hyperlink ref="O419" r:id="rId836" display="apri"/>
    <hyperlink ref="N420" r:id="rId837" display="apri"/>
    <hyperlink ref="O420" r:id="rId838" display="apri"/>
    <hyperlink ref="N421" r:id="rId839" display="apri"/>
    <hyperlink ref="O421" r:id="rId840" display="apri"/>
    <hyperlink ref="N422" r:id="rId841" display="apri"/>
    <hyperlink ref="O422" r:id="rId842" display="apri"/>
    <hyperlink ref="N423" r:id="rId843" display="apri"/>
    <hyperlink ref="O423" r:id="rId844" display="apri"/>
    <hyperlink ref="N424" r:id="rId845" display="apri"/>
    <hyperlink ref="O424" r:id="rId846" display="apri"/>
    <hyperlink ref="N425" r:id="rId847" display="apri"/>
    <hyperlink ref="O425" r:id="rId848" display="apri"/>
    <hyperlink ref="N426" r:id="rId849" display="apri"/>
    <hyperlink ref="O426" r:id="rId850" display="apri"/>
    <hyperlink ref="N427" r:id="rId851" display="apri"/>
    <hyperlink ref="O427" r:id="rId852" display="apri"/>
    <hyperlink ref="N428" r:id="rId853" display="apri"/>
    <hyperlink ref="O428" r:id="rId854" display="apri"/>
    <hyperlink ref="N429" r:id="rId855" display="apri"/>
    <hyperlink ref="O429" r:id="rId856" display="apri"/>
    <hyperlink ref="N430" r:id="rId857" display="apri"/>
    <hyperlink ref="O430" r:id="rId858" display="apri"/>
    <hyperlink ref="N431" r:id="rId859" display="apri"/>
    <hyperlink ref="O431" r:id="rId860" display="apri"/>
    <hyperlink ref="N432" r:id="rId861" display="apri"/>
    <hyperlink ref="O432" r:id="rId862" display="apri"/>
    <hyperlink ref="N433" r:id="rId863" display="apri"/>
    <hyperlink ref="O433" r:id="rId864" display="apri"/>
    <hyperlink ref="N434" r:id="rId865" display="apri"/>
    <hyperlink ref="O434" r:id="rId866" display="apri"/>
    <hyperlink ref="N435" r:id="rId867" display="apri"/>
    <hyperlink ref="O435" r:id="rId868" display="apri"/>
    <hyperlink ref="N436" r:id="rId869" display="apri"/>
    <hyperlink ref="O436" r:id="rId870" display="apri"/>
    <hyperlink ref="N437" r:id="rId871" display="apri"/>
    <hyperlink ref="O437" r:id="rId872" display="apri"/>
    <hyperlink ref="N438" r:id="rId873" display="apri"/>
    <hyperlink ref="O438" r:id="rId874" display="apri"/>
    <hyperlink ref="N439" r:id="rId875" display="apri"/>
    <hyperlink ref="O439" r:id="rId876" display="apri"/>
    <hyperlink ref="N440" r:id="rId877" display="apri"/>
    <hyperlink ref="O440" r:id="rId878" display="apri"/>
    <hyperlink ref="N441" r:id="rId879" display="apri"/>
    <hyperlink ref="O441" r:id="rId880" display="apri"/>
    <hyperlink ref="N442" r:id="rId881" display="apri"/>
    <hyperlink ref="O442" r:id="rId882" display="apri"/>
    <hyperlink ref="N443" r:id="rId883" display="apri"/>
    <hyperlink ref="O443" r:id="rId884" display="apri"/>
    <hyperlink ref="N444" r:id="rId885" display="apri"/>
    <hyperlink ref="O444" r:id="rId886" display="apri"/>
    <hyperlink ref="N445" r:id="rId887" display="apri"/>
    <hyperlink ref="O445" r:id="rId888" display="apri"/>
    <hyperlink ref="N446" r:id="rId889" display="apri"/>
    <hyperlink ref="O446" r:id="rId890" display="apri"/>
    <hyperlink ref="N447" r:id="rId891" display="apri"/>
    <hyperlink ref="O447" r:id="rId892" display="apri"/>
    <hyperlink ref="N448" r:id="rId893" display="apri"/>
    <hyperlink ref="O448" r:id="rId894" display="apri"/>
    <hyperlink ref="N449" r:id="rId895" display="apri"/>
    <hyperlink ref="O449" r:id="rId896" display="apri"/>
    <hyperlink ref="N450" r:id="rId897" display="apri"/>
    <hyperlink ref="O450" r:id="rId898" display="apri"/>
    <hyperlink ref="N451" r:id="rId899" display="apri"/>
    <hyperlink ref="O451" r:id="rId900" display="apri"/>
    <hyperlink ref="N452" r:id="rId901" display="apri"/>
    <hyperlink ref="O452" r:id="rId902" display="apri"/>
    <hyperlink ref="N453" r:id="rId903" display="apri"/>
    <hyperlink ref="O453" r:id="rId904" display="apri"/>
    <hyperlink ref="N454" r:id="rId905" display="apri"/>
    <hyperlink ref="O454" r:id="rId906" display="apri"/>
    <hyperlink ref="N455" r:id="rId907" display="apri"/>
    <hyperlink ref="O455" r:id="rId908" display="apri"/>
    <hyperlink ref="N456" r:id="rId909" display="apri"/>
    <hyperlink ref="O456" r:id="rId910" display="apri"/>
    <hyperlink ref="N457" r:id="rId911" display="apri"/>
    <hyperlink ref="O457" r:id="rId912" display="apri"/>
    <hyperlink ref="N458" r:id="rId913" display="apri"/>
    <hyperlink ref="O458" r:id="rId914" display="apri"/>
    <hyperlink ref="N459" r:id="rId915" display="apri"/>
    <hyperlink ref="O459" r:id="rId916" display="apri"/>
    <hyperlink ref="N460" r:id="rId917" display="apri"/>
    <hyperlink ref="O460" r:id="rId918" display="apri"/>
    <hyperlink ref="N461" r:id="rId919" display="apri"/>
    <hyperlink ref="O461" r:id="rId920" display="apri"/>
    <hyperlink ref="N462" r:id="rId921" display="apri"/>
    <hyperlink ref="O462" r:id="rId922" display="apri"/>
    <hyperlink ref="N463" r:id="rId923" display="apri"/>
    <hyperlink ref="O463" r:id="rId924" display="apri"/>
    <hyperlink ref="N464" r:id="rId925" display="apri"/>
    <hyperlink ref="O464" r:id="rId926" display="apri"/>
    <hyperlink ref="N465" r:id="rId927" display="apri"/>
    <hyperlink ref="O465" r:id="rId928" display="apri"/>
    <hyperlink ref="N466" r:id="rId929" display="apri"/>
    <hyperlink ref="O466" r:id="rId930" display="apri"/>
    <hyperlink ref="N467" r:id="rId931" display="apri"/>
    <hyperlink ref="O467" r:id="rId932" display="apri"/>
    <hyperlink ref="N468" r:id="rId933" display="apri"/>
    <hyperlink ref="O468" r:id="rId934" display="apri"/>
    <hyperlink ref="N469" r:id="rId935" display="apri"/>
    <hyperlink ref="O469" r:id="rId936" display="apri"/>
    <hyperlink ref="N470" r:id="rId937" display="apri"/>
    <hyperlink ref="O470" r:id="rId938" display="apri"/>
    <hyperlink ref="N471" r:id="rId939" display="apri"/>
    <hyperlink ref="O471" r:id="rId940" display="apri"/>
    <hyperlink ref="N472" r:id="rId941" display="apri"/>
    <hyperlink ref="O472" r:id="rId942" display="apri"/>
    <hyperlink ref="N473" r:id="rId943" display="apri"/>
    <hyperlink ref="O473" r:id="rId944" display="apri"/>
    <hyperlink ref="N474" r:id="rId945" display="apri"/>
    <hyperlink ref="O474" r:id="rId946" display="apri"/>
    <hyperlink ref="N475" r:id="rId947" display="apri"/>
    <hyperlink ref="O475" r:id="rId948" display="apri"/>
    <hyperlink ref="N476" r:id="rId949" display="apri"/>
    <hyperlink ref="O476" r:id="rId950" display="apri"/>
    <hyperlink ref="N477" r:id="rId951" display="apri"/>
    <hyperlink ref="O477" r:id="rId952" display="apri"/>
    <hyperlink ref="N478" r:id="rId953" display="apri"/>
    <hyperlink ref="O478" r:id="rId954" display="apri"/>
    <hyperlink ref="N479" r:id="rId955" display="apri"/>
    <hyperlink ref="O479" r:id="rId956" display="apri"/>
    <hyperlink ref="N480" r:id="rId957" display="apri"/>
    <hyperlink ref="O480" r:id="rId958" display="apri"/>
    <hyperlink ref="N481" r:id="rId959" display="apri"/>
    <hyperlink ref="O481" r:id="rId960" display="apri"/>
    <hyperlink ref="N482" r:id="rId961" display="apri"/>
    <hyperlink ref="O482" r:id="rId962" display="apri"/>
    <hyperlink ref="N483" r:id="rId963" display="apri"/>
    <hyperlink ref="O483" r:id="rId964" display="apri"/>
    <hyperlink ref="N484" r:id="rId965" display="apri"/>
    <hyperlink ref="O484" r:id="rId966" display="apri"/>
    <hyperlink ref="N485" r:id="rId967" display="apri"/>
    <hyperlink ref="O485" r:id="rId968" display="apri"/>
    <hyperlink ref="N486" r:id="rId969" display="apri"/>
    <hyperlink ref="O486" r:id="rId970" display="apri"/>
    <hyperlink ref="N487" r:id="rId971" display="apri"/>
    <hyperlink ref="O487" r:id="rId972" display="apri"/>
    <hyperlink ref="N488" r:id="rId973" display="apri"/>
    <hyperlink ref="O488" r:id="rId974" display="apri"/>
    <hyperlink ref="N489" r:id="rId975" display="apri"/>
    <hyperlink ref="O489" r:id="rId976" display="apri"/>
    <hyperlink ref="N490" r:id="rId977" display="apri"/>
    <hyperlink ref="O490" r:id="rId978" display="apri"/>
    <hyperlink ref="N491" r:id="rId979" display="apri"/>
    <hyperlink ref="O491" r:id="rId980" display="apri"/>
    <hyperlink ref="N492" r:id="rId981" display="apri"/>
    <hyperlink ref="O492" r:id="rId982" display="apri"/>
    <hyperlink ref="N493" r:id="rId983" display="apri"/>
    <hyperlink ref="O493" r:id="rId984" display="apri"/>
    <hyperlink ref="N494" r:id="rId985" display="apri"/>
    <hyperlink ref="O494" r:id="rId986" display="apri"/>
    <hyperlink ref="N495" r:id="rId987" display="apri"/>
    <hyperlink ref="O495" r:id="rId988" display="apri"/>
    <hyperlink ref="N496" r:id="rId989" display="apri"/>
    <hyperlink ref="O496" r:id="rId990" display="apri"/>
    <hyperlink ref="N497" r:id="rId991" display="apri"/>
    <hyperlink ref="O497" r:id="rId992" display="apri"/>
    <hyperlink ref="N498" r:id="rId993" display="apri"/>
    <hyperlink ref="O498" r:id="rId994" display="apri"/>
    <hyperlink ref="N499" r:id="rId995" display="apri"/>
    <hyperlink ref="O499" r:id="rId996" display="apri"/>
    <hyperlink ref="N500" r:id="rId997" display="apri"/>
    <hyperlink ref="O500" r:id="rId998" display="apri"/>
    <hyperlink ref="N501" r:id="rId999" display="apri"/>
    <hyperlink ref="O501" r:id="rId1000" display="apri"/>
    <hyperlink ref="N502" r:id="rId1001" display="apri"/>
    <hyperlink ref="O502" r:id="rId1002" display="apri"/>
    <hyperlink ref="N503" r:id="rId1003" display="apri"/>
    <hyperlink ref="O503" r:id="rId1004" display="apri"/>
    <hyperlink ref="N504" r:id="rId1005" display="apri"/>
    <hyperlink ref="O504" r:id="rId1006" display="apri"/>
    <hyperlink ref="N505" r:id="rId1007" display="apri"/>
    <hyperlink ref="O505" r:id="rId1008" display="apri"/>
    <hyperlink ref="N506" r:id="rId1009" display="apri"/>
    <hyperlink ref="O506" r:id="rId1010" display="apri"/>
    <hyperlink ref="N507" r:id="rId1011" display="apri"/>
    <hyperlink ref="O507" r:id="rId1012" display="apri"/>
    <hyperlink ref="N508" r:id="rId1013" display="apri"/>
    <hyperlink ref="O508" r:id="rId1014" display="apri"/>
    <hyperlink ref="N509" r:id="rId1015" display="apri"/>
    <hyperlink ref="O509" r:id="rId1016" display="apri"/>
    <hyperlink ref="N510" r:id="rId1017" display="apri"/>
    <hyperlink ref="O510" r:id="rId1018" display="apri"/>
    <hyperlink ref="N511" r:id="rId1019" display="apri"/>
    <hyperlink ref="O511" r:id="rId1020" display="apri"/>
    <hyperlink ref="N512" r:id="rId1021" display="apri"/>
    <hyperlink ref="O512" r:id="rId1022" display="apri"/>
    <hyperlink ref="N513" r:id="rId1023" display="apri"/>
    <hyperlink ref="O513" r:id="rId1024" display="apri"/>
    <hyperlink ref="N514" r:id="rId1025" display="apri"/>
    <hyperlink ref="O514" r:id="rId1026" display="apri"/>
    <hyperlink ref="N515" r:id="rId1027" display="apri"/>
    <hyperlink ref="O515" r:id="rId1028" display="apri"/>
    <hyperlink ref="N516" r:id="rId1029" display="apri"/>
    <hyperlink ref="O516" r:id="rId1030" display="apri"/>
    <hyperlink ref="N517" r:id="rId1031" display="apri"/>
    <hyperlink ref="O517" r:id="rId1032" display="apri"/>
    <hyperlink ref="N518" r:id="rId1033" display="apri"/>
    <hyperlink ref="O518" r:id="rId1034" display="apri"/>
    <hyperlink ref="N519" r:id="rId1035" display="apri"/>
    <hyperlink ref="O519" r:id="rId1036" display="apri"/>
    <hyperlink ref="N520" r:id="rId1037" display="apri"/>
    <hyperlink ref="O520" r:id="rId1038" display="ap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3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11"/>
  </cols>
  <sheetData>
    <row r="1" customFormat="false" ht="25.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787</v>
      </c>
      <c r="E1" s="5" t="s">
        <v>788</v>
      </c>
      <c r="F1" s="5" t="s">
        <v>789</v>
      </c>
      <c r="G1" s="5" t="s">
        <v>790</v>
      </c>
      <c r="H1" s="5" t="s">
        <v>791</v>
      </c>
      <c r="I1" s="5" t="s">
        <v>792</v>
      </c>
      <c r="J1" s="5" t="s">
        <v>24</v>
      </c>
    </row>
    <row r="2" customFormat="false" ht="15" hidden="false" customHeight="false" outlineLevel="0" collapsed="false">
      <c r="A2" s="6" t="s">
        <v>27</v>
      </c>
      <c r="B2" s="6" t="s">
        <v>28</v>
      </c>
      <c r="C2" s="6" t="s">
        <v>29</v>
      </c>
      <c r="D2" s="7" t="n">
        <v>299.99</v>
      </c>
      <c r="E2" s="7" t="n">
        <v>299.99</v>
      </c>
      <c r="F2" s="6" t="n">
        <v>1</v>
      </c>
      <c r="G2" s="7" t="n">
        <v>299.99</v>
      </c>
      <c r="H2" s="6" t="s">
        <v>31</v>
      </c>
      <c r="I2" s="6" t="str">
        <f aca="false">IF(G2&lt;D2,"più caro",IF(G2&gt;E2,"più economico","in fascia"))</f>
        <v>in fascia</v>
      </c>
      <c r="J2" s="8" t="n">
        <f aca="false">IF(G2&lt;D2,(D2-G2)/G2,IF(G2&gt;E2,(E2-G2)/G2,0))</f>
        <v>0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s">
        <v>37</v>
      </c>
      <c r="D3" s="7" t="n">
        <v>10.5</v>
      </c>
      <c r="E3" s="7" t="n">
        <v>14.9</v>
      </c>
      <c r="F3" s="6" t="n">
        <v>2</v>
      </c>
      <c r="G3" s="7" t="n">
        <v>7.39</v>
      </c>
      <c r="H3" s="6" t="s">
        <v>31</v>
      </c>
      <c r="I3" s="6" t="str">
        <f aca="false">IF(G3&lt;D3,"più caro",IF(G3&gt;E3,"più economico","in fascia"))</f>
        <v>più caro</v>
      </c>
      <c r="J3" s="8" t="n">
        <f aca="false">IF(G3&lt;D3,(D3-G3)/G3,IF(G3&gt;E3,(E3-G3)/G3,0))</f>
        <v>0.420838971583221</v>
      </c>
    </row>
    <row r="4" customFormat="false" ht="15" hidden="false" customHeight="false" outlineLevel="0" collapsed="false">
      <c r="A4" s="6" t="s">
        <v>41</v>
      </c>
      <c r="B4" s="6" t="s">
        <v>36</v>
      </c>
      <c r="C4" s="6" t="s">
        <v>42</v>
      </c>
      <c r="D4" s="7" t="n">
        <v>7.9</v>
      </c>
      <c r="E4" s="7" t="n">
        <v>10</v>
      </c>
      <c r="F4" s="6" t="n">
        <v>1</v>
      </c>
      <c r="G4" s="7" t="n">
        <v>6.08</v>
      </c>
      <c r="H4" s="6" t="s">
        <v>31</v>
      </c>
      <c r="I4" s="6" t="str">
        <f aca="false">IF(G4&lt;D4,"più caro",IF(G4&gt;E4,"più economico","in fascia"))</f>
        <v>più caro</v>
      </c>
      <c r="J4" s="8" t="n">
        <f aca="false">IF(G4&lt;D4,(D4-G4)/G4,IF(G4&gt;E4,(E4-G4)/G4,0))</f>
        <v>0.299342105263158</v>
      </c>
    </row>
    <row r="5" customFormat="false" ht="15" hidden="false" customHeight="false" outlineLevel="0" collapsed="false">
      <c r="A5" s="6" t="s">
        <v>43</v>
      </c>
      <c r="B5" s="6" t="s">
        <v>36</v>
      </c>
      <c r="C5" s="6" t="s">
        <v>44</v>
      </c>
      <c r="D5" s="7" t="n">
        <v>8.9</v>
      </c>
      <c r="E5" s="7" t="n">
        <v>8.9</v>
      </c>
      <c r="F5" s="6" t="n">
        <v>1</v>
      </c>
      <c r="G5" s="7" t="n">
        <v>8.95</v>
      </c>
      <c r="H5" s="6" t="s">
        <v>39</v>
      </c>
      <c r="I5" s="6" t="str">
        <f aca="false">IF(G5&lt;D5,"più caro",IF(G5&gt;E5,"più economico","in fascia"))</f>
        <v>più economico</v>
      </c>
      <c r="J5" s="8" t="n">
        <f aca="false">IF(G5&lt;D5,(D5-G5)/G5,IF(G5&gt;E5,(E5-G5)/G5,0))</f>
        <v>-0.00558659217877083</v>
      </c>
    </row>
    <row r="6" customFormat="false" ht="15" hidden="false" customHeight="false" outlineLevel="0" collapsed="false">
      <c r="A6" s="6" t="s">
        <v>46</v>
      </c>
      <c r="B6" s="6" t="s">
        <v>36</v>
      </c>
      <c r="C6" s="6" t="s">
        <v>47</v>
      </c>
      <c r="D6" s="7" t="n">
        <v>9.9</v>
      </c>
      <c r="E6" s="7" t="n">
        <v>9.9</v>
      </c>
      <c r="F6" s="6" t="n">
        <v>1</v>
      </c>
      <c r="G6" s="7" t="n">
        <v>7.95</v>
      </c>
      <c r="H6" s="6" t="s">
        <v>39</v>
      </c>
      <c r="I6" s="6" t="str">
        <f aca="false">IF(G6&lt;D6,"più caro",IF(G6&gt;E6,"più economico","in fascia"))</f>
        <v>più caro</v>
      </c>
      <c r="J6" s="8" t="n">
        <f aca="false">IF(G6&lt;D6,(D6-G6)/G6,IF(G6&gt;E6,(E6-G6)/G6,0))</f>
        <v>0.245283018867925</v>
      </c>
    </row>
    <row r="7" customFormat="false" ht="15" hidden="false" customHeight="false" outlineLevel="0" collapsed="false">
      <c r="A7" s="6" t="s">
        <v>48</v>
      </c>
      <c r="B7" s="6" t="s">
        <v>36</v>
      </c>
      <c r="C7" s="6" t="s">
        <v>49</v>
      </c>
      <c r="D7" s="7" t="n">
        <v>5.5</v>
      </c>
      <c r="E7" s="7" t="n">
        <v>5.5</v>
      </c>
      <c r="F7" s="6" t="n">
        <v>2</v>
      </c>
      <c r="G7" s="7" t="n">
        <v>3.49</v>
      </c>
      <c r="H7" s="6" t="s">
        <v>39</v>
      </c>
      <c r="I7" s="6" t="str">
        <f aca="false">IF(G7&lt;D7,"più caro",IF(G7&gt;E7,"più economico","in fascia"))</f>
        <v>più caro</v>
      </c>
      <c r="J7" s="8" t="n">
        <f aca="false">IF(G7&lt;D7,(D7-G7)/G7,IF(G7&gt;E7,(E7-G7)/G7,0))</f>
        <v>0.57593123209169</v>
      </c>
    </row>
    <row r="8" customFormat="false" ht="15" hidden="false" customHeight="false" outlineLevel="0" collapsed="false">
      <c r="A8" s="6" t="s">
        <v>50</v>
      </c>
      <c r="B8" s="6" t="s">
        <v>36</v>
      </c>
      <c r="C8" s="6" t="s">
        <v>51</v>
      </c>
      <c r="D8" s="7" t="n">
        <v>5.99</v>
      </c>
      <c r="E8" s="7" t="n">
        <v>5.99</v>
      </c>
      <c r="F8" s="6" t="n">
        <v>2</v>
      </c>
      <c r="G8" s="7" t="n">
        <v>5.95</v>
      </c>
      <c r="H8" s="6" t="s">
        <v>39</v>
      </c>
      <c r="I8" s="6" t="str">
        <f aca="false">IF(G8&lt;D8,"più caro",IF(G8&gt;E8,"più economico","in fascia"))</f>
        <v>più caro</v>
      </c>
      <c r="J8" s="8" t="n">
        <f aca="false">IF(G8&lt;D8,(D8-G8)/G8,IF(G8&gt;E8,(E8-G8)/G8,0))</f>
        <v>0.00672268907563026</v>
      </c>
    </row>
    <row r="9" customFormat="false" ht="15" hidden="false" customHeight="false" outlineLevel="0" collapsed="false">
      <c r="A9" s="6" t="s">
        <v>53</v>
      </c>
      <c r="B9" s="6" t="s">
        <v>36</v>
      </c>
      <c r="C9" s="6" t="s">
        <v>54</v>
      </c>
      <c r="D9" s="7" t="n">
        <v>6.5</v>
      </c>
      <c r="E9" s="7" t="n">
        <v>6.5</v>
      </c>
      <c r="F9" s="6" t="n">
        <v>1</v>
      </c>
      <c r="G9" s="7" t="n">
        <v>6.75</v>
      </c>
      <c r="H9" s="6" t="s">
        <v>39</v>
      </c>
      <c r="I9" s="6" t="str">
        <f aca="false">IF(G9&lt;D9,"più caro",IF(G9&gt;E9,"più economico","in fascia"))</f>
        <v>più economico</v>
      </c>
      <c r="J9" s="8" t="n">
        <f aca="false">IF(G9&lt;D9,(D9-G9)/G9,IF(G9&gt;E9,(E9-G9)/G9,0))</f>
        <v>-0.037037037037037</v>
      </c>
    </row>
    <row r="10" customFormat="false" ht="15" hidden="false" customHeight="false" outlineLevel="0" collapsed="false">
      <c r="A10" s="6" t="s">
        <v>55</v>
      </c>
      <c r="B10" s="6" t="s">
        <v>36</v>
      </c>
      <c r="C10" s="6" t="s">
        <v>56</v>
      </c>
      <c r="D10" s="7" t="n">
        <v>275</v>
      </c>
      <c r="E10" s="7" t="n">
        <v>275</v>
      </c>
      <c r="F10" s="6" t="n">
        <v>2</v>
      </c>
      <c r="G10" s="7" t="n">
        <v>239.99</v>
      </c>
      <c r="H10" s="6" t="s">
        <v>31</v>
      </c>
      <c r="I10" s="6" t="str">
        <f aca="false">IF(G10&lt;D10,"più caro",IF(G10&gt;E10,"più economico","in fascia"))</f>
        <v>più caro</v>
      </c>
      <c r="J10" s="8" t="n">
        <f aca="false">IF(G10&lt;D10,(D10-G10)/G10,IF(G10&gt;E10,(E10-G10)/G10,0))</f>
        <v>0.145881078378266</v>
      </c>
    </row>
    <row r="11" customFormat="false" ht="15" hidden="false" customHeight="false" outlineLevel="0" collapsed="false">
      <c r="A11" s="6" t="s">
        <v>57</v>
      </c>
      <c r="B11" s="6" t="s">
        <v>36</v>
      </c>
      <c r="C11" s="6" t="s">
        <v>58</v>
      </c>
      <c r="D11" s="7" t="n">
        <v>4.5</v>
      </c>
      <c r="E11" s="7" t="n">
        <v>4.5</v>
      </c>
      <c r="F11" s="6" t="n">
        <v>2</v>
      </c>
      <c r="G11" s="7" t="n">
        <v>4.29</v>
      </c>
      <c r="H11" s="6" t="s">
        <v>31</v>
      </c>
      <c r="I11" s="6" t="str">
        <f aca="false">IF(G11&lt;D11,"più caro",IF(G11&gt;E11,"più economico","in fascia"))</f>
        <v>più caro</v>
      </c>
      <c r="J11" s="8" t="n">
        <f aca="false">IF(G11&lt;D11,(D11-G11)/G11,IF(G11&gt;E11,(E11-G11)/G11,0))</f>
        <v>0.0489510489510489</v>
      </c>
    </row>
    <row r="12" customFormat="false" ht="15" hidden="false" customHeight="false" outlineLevel="0" collapsed="false">
      <c r="A12" s="6" t="s">
        <v>59</v>
      </c>
      <c r="B12" s="6" t="s">
        <v>36</v>
      </c>
      <c r="C12" s="6" t="s">
        <v>60</v>
      </c>
      <c r="D12" s="7" t="n">
        <v>4.5</v>
      </c>
      <c r="E12" s="7" t="n">
        <v>4.5</v>
      </c>
      <c r="F12" s="6" t="n">
        <v>1</v>
      </c>
      <c r="G12" s="7" t="n">
        <v>4.29</v>
      </c>
      <c r="H12" s="6" t="s">
        <v>31</v>
      </c>
      <c r="I12" s="6" t="str">
        <f aca="false">IF(G12&lt;D12,"più caro",IF(G12&gt;E12,"più economico","in fascia"))</f>
        <v>più caro</v>
      </c>
      <c r="J12" s="8" t="n">
        <f aca="false">IF(G12&lt;D12,(D12-G12)/G12,IF(G12&gt;E12,(E12-G12)/G12,0))</f>
        <v>0.0489510489510489</v>
      </c>
    </row>
    <row r="13" customFormat="false" ht="15" hidden="false" customHeight="false" outlineLevel="0" collapsed="false">
      <c r="A13" s="6" t="s">
        <v>61</v>
      </c>
      <c r="B13" s="6" t="s">
        <v>36</v>
      </c>
      <c r="C13" s="6" t="s">
        <v>62</v>
      </c>
      <c r="D13" s="7" t="n">
        <v>5.5</v>
      </c>
      <c r="E13" s="7" t="n">
        <v>5.5</v>
      </c>
      <c r="F13" s="6" t="n">
        <v>1</v>
      </c>
      <c r="G13" s="7" t="n">
        <v>6.49</v>
      </c>
      <c r="H13" s="6" t="s">
        <v>31</v>
      </c>
      <c r="I13" s="6" t="str">
        <f aca="false">IF(G13&lt;D13,"più caro",IF(G13&gt;E13,"più economico","in fascia"))</f>
        <v>più economico</v>
      </c>
      <c r="J13" s="8" t="n">
        <f aca="false">IF(G13&lt;D13,(D13-G13)/G13,IF(G13&gt;E13,(E13-G13)/G13,0))</f>
        <v>-0.152542372881356</v>
      </c>
    </row>
    <row r="14" customFormat="false" ht="15" hidden="false" customHeight="false" outlineLevel="0" collapsed="false">
      <c r="A14" s="6" t="s">
        <v>63</v>
      </c>
      <c r="B14" s="6" t="s">
        <v>36</v>
      </c>
      <c r="C14" s="6" t="s">
        <v>64</v>
      </c>
      <c r="D14" s="7" t="n">
        <v>6.49</v>
      </c>
      <c r="E14" s="7" t="n">
        <v>6.49</v>
      </c>
      <c r="F14" s="6" t="n">
        <v>1</v>
      </c>
      <c r="G14" s="7" t="n">
        <v>6.49</v>
      </c>
      <c r="H14" s="6" t="s">
        <v>31</v>
      </c>
      <c r="I14" s="6" t="str">
        <f aca="false">IF(G14&lt;D14,"più caro",IF(G14&gt;E14,"più economico","in fascia"))</f>
        <v>in fascia</v>
      </c>
      <c r="J14" s="8" t="n">
        <f aca="false">IF(G14&lt;D14,(D14-G14)/G14,IF(G14&gt;E14,(E14-G14)/G14,0))</f>
        <v>0</v>
      </c>
    </row>
    <row r="15" customFormat="false" ht="15" hidden="false" customHeight="false" outlineLevel="0" collapsed="false">
      <c r="A15" s="6" t="s">
        <v>65</v>
      </c>
      <c r="B15" s="6" t="s">
        <v>36</v>
      </c>
      <c r="C15" s="6" t="s">
        <v>66</v>
      </c>
      <c r="D15" s="7" t="n">
        <v>3.5</v>
      </c>
      <c r="E15" s="7" t="n">
        <v>3.5</v>
      </c>
      <c r="F15" s="6" t="n">
        <v>2</v>
      </c>
      <c r="G15" s="7" t="n">
        <v>2.6</v>
      </c>
      <c r="H15" s="6" t="s">
        <v>39</v>
      </c>
      <c r="I15" s="6" t="str">
        <f aca="false">IF(G15&lt;D15,"più caro",IF(G15&gt;E15,"più economico","in fascia"))</f>
        <v>più caro</v>
      </c>
      <c r="J15" s="8" t="n">
        <f aca="false">IF(G15&lt;D15,(D15-G15)/G15,IF(G15&gt;E15,(E15-G15)/G15,0))</f>
        <v>0.346153846153846</v>
      </c>
    </row>
    <row r="16" customFormat="false" ht="15" hidden="false" customHeight="false" outlineLevel="0" collapsed="false">
      <c r="A16" s="6" t="s">
        <v>67</v>
      </c>
      <c r="B16" s="6" t="s">
        <v>36</v>
      </c>
      <c r="C16" s="6" t="s">
        <v>68</v>
      </c>
      <c r="D16" s="7" t="n">
        <v>4.7</v>
      </c>
      <c r="E16" s="7" t="n">
        <v>5.5</v>
      </c>
      <c r="F16" s="6" t="n">
        <v>1</v>
      </c>
      <c r="G16" s="7" t="n">
        <v>4.19</v>
      </c>
      <c r="H16" s="6" t="s">
        <v>31</v>
      </c>
      <c r="I16" s="6" t="str">
        <f aca="false">IF(G16&lt;D16,"più caro",IF(G16&gt;E16,"più economico","in fascia"))</f>
        <v>più caro</v>
      </c>
      <c r="J16" s="8" t="n">
        <f aca="false">IF(G16&lt;D16,(D16-G16)/G16,IF(G16&gt;E16,(E16-G16)/G16,0))</f>
        <v>0.121718377088305</v>
      </c>
    </row>
    <row r="17" customFormat="false" ht="15" hidden="false" customHeight="false" outlineLevel="0" collapsed="false">
      <c r="A17" s="6" t="s">
        <v>70</v>
      </c>
      <c r="B17" s="6" t="s">
        <v>36</v>
      </c>
      <c r="C17" s="6" t="s">
        <v>71</v>
      </c>
      <c r="D17" s="7" t="n">
        <v>8.5</v>
      </c>
      <c r="E17" s="7" t="n">
        <v>8.5</v>
      </c>
      <c r="F17" s="6" t="n">
        <v>1</v>
      </c>
      <c r="G17" s="7" t="n">
        <v>7.9</v>
      </c>
      <c r="H17" s="6" t="s">
        <v>31</v>
      </c>
      <c r="I17" s="6" t="str">
        <f aca="false">IF(G17&lt;D17,"più caro",IF(G17&gt;E17,"più economico","in fascia"))</f>
        <v>più caro</v>
      </c>
      <c r="J17" s="8" t="n">
        <f aca="false">IF(G17&lt;D17,(D17-G17)/G17,IF(G17&gt;E17,(E17-G17)/G17,0))</f>
        <v>0.0759493670886075</v>
      </c>
    </row>
    <row r="18" customFormat="false" ht="15" hidden="false" customHeight="false" outlineLevel="0" collapsed="false">
      <c r="A18" s="6" t="s">
        <v>72</v>
      </c>
      <c r="B18" s="6" t="s">
        <v>36</v>
      </c>
      <c r="C18" s="6" t="s">
        <v>73</v>
      </c>
      <c r="D18" s="7" t="n">
        <v>8.5</v>
      </c>
      <c r="E18" s="7" t="n">
        <v>8.5</v>
      </c>
      <c r="F18" s="6" t="n">
        <v>1</v>
      </c>
      <c r="G18" s="7" t="n">
        <v>7.9</v>
      </c>
      <c r="H18" s="6" t="s">
        <v>31</v>
      </c>
      <c r="I18" s="6" t="str">
        <f aca="false">IF(G18&lt;D18,"più caro",IF(G18&gt;E18,"più economico","in fascia"))</f>
        <v>più caro</v>
      </c>
      <c r="J18" s="8" t="n">
        <f aca="false">IF(G18&lt;D18,(D18-G18)/G18,IF(G18&gt;E18,(E18-G18)/G18,0))</f>
        <v>0.0759493670886075</v>
      </c>
    </row>
    <row r="19" customFormat="false" ht="15" hidden="false" customHeight="false" outlineLevel="0" collapsed="false">
      <c r="A19" s="6" t="s">
        <v>74</v>
      </c>
      <c r="B19" s="6" t="s">
        <v>36</v>
      </c>
      <c r="C19" s="6" t="s">
        <v>75</v>
      </c>
      <c r="D19" s="7" t="n">
        <v>4.99</v>
      </c>
      <c r="E19" s="7" t="n">
        <v>4.99</v>
      </c>
      <c r="F19" s="6" t="n">
        <v>1</v>
      </c>
      <c r="G19" s="7" t="n">
        <v>3.54</v>
      </c>
      <c r="H19" s="6" t="s">
        <v>31</v>
      </c>
      <c r="I19" s="6" t="str">
        <f aca="false">IF(G19&lt;D19,"più caro",IF(G19&gt;E19,"più economico","in fascia"))</f>
        <v>più caro</v>
      </c>
      <c r="J19" s="8" t="n">
        <f aca="false">IF(G19&lt;D19,(D19-G19)/G19,IF(G19&gt;E19,(E19-G19)/G19,0))</f>
        <v>0.409604519774011</v>
      </c>
    </row>
    <row r="20" customFormat="false" ht="15" hidden="false" customHeight="false" outlineLevel="0" collapsed="false">
      <c r="A20" s="6" t="s">
        <v>76</v>
      </c>
      <c r="B20" s="6" t="s">
        <v>36</v>
      </c>
      <c r="C20" s="6" t="s">
        <v>77</v>
      </c>
      <c r="D20" s="7" t="n">
        <v>24.99</v>
      </c>
      <c r="E20" s="7" t="n">
        <v>24.99</v>
      </c>
      <c r="F20" s="6" t="n">
        <v>1</v>
      </c>
      <c r="G20" s="7" t="n">
        <v>39.95</v>
      </c>
      <c r="H20" s="6" t="s">
        <v>39</v>
      </c>
      <c r="I20" s="6" t="str">
        <f aca="false">IF(G20&lt;D20,"più caro",IF(G20&gt;E20,"più economico","in fascia"))</f>
        <v>più economico</v>
      </c>
      <c r="J20" s="8" t="n">
        <f aca="false">IF(G20&lt;D20,(D20-G20)/G20,IF(G20&gt;E20,(E20-G20)/G20,0))</f>
        <v>-0.374468085106383</v>
      </c>
    </row>
    <row r="21" customFormat="false" ht="15" hidden="false" customHeight="false" outlineLevel="0" collapsed="false">
      <c r="A21" s="6" t="s">
        <v>78</v>
      </c>
      <c r="B21" s="6" t="s">
        <v>36</v>
      </c>
      <c r="C21" s="6" t="s">
        <v>79</v>
      </c>
      <c r="D21" s="7" t="n">
        <v>39</v>
      </c>
      <c r="E21" s="7" t="n">
        <v>39</v>
      </c>
      <c r="F21" s="6" t="n">
        <v>1</v>
      </c>
      <c r="G21" s="7" t="n">
        <v>39.95</v>
      </c>
      <c r="H21" s="6" t="s">
        <v>39</v>
      </c>
      <c r="I21" s="6" t="str">
        <f aca="false">IF(G21&lt;D21,"più caro",IF(G21&gt;E21,"più economico","in fascia"))</f>
        <v>più economico</v>
      </c>
      <c r="J21" s="8" t="n">
        <f aca="false">IF(G21&lt;D21,(D21-G21)/G21,IF(G21&gt;E21,(E21-G21)/G21,0))</f>
        <v>-0.0237797246558198</v>
      </c>
    </row>
    <row r="22" customFormat="false" ht="15" hidden="false" customHeight="false" outlineLevel="0" collapsed="false">
      <c r="A22" s="6" t="s">
        <v>80</v>
      </c>
      <c r="B22" s="6" t="s">
        <v>36</v>
      </c>
      <c r="C22" s="6" t="s">
        <v>81</v>
      </c>
      <c r="D22" s="7" t="n">
        <v>7.9</v>
      </c>
      <c r="E22" s="7" t="n">
        <v>9.1</v>
      </c>
      <c r="F22" s="6" t="n">
        <v>1</v>
      </c>
      <c r="G22" s="7" t="n">
        <v>7.49</v>
      </c>
      <c r="H22" s="6" t="s">
        <v>31</v>
      </c>
      <c r="I22" s="6" t="str">
        <f aca="false">IF(G22&lt;D22,"più caro",IF(G22&gt;E22,"più economico","in fascia"))</f>
        <v>più caro</v>
      </c>
      <c r="J22" s="8" t="n">
        <f aca="false">IF(G22&lt;D22,(D22-G22)/G22,IF(G22&gt;E22,(E22-G22)/G22,0))</f>
        <v>0.054739652870494</v>
      </c>
    </row>
    <row r="23" customFormat="false" ht="15" hidden="false" customHeight="false" outlineLevel="0" collapsed="false">
      <c r="A23" s="6" t="s">
        <v>83</v>
      </c>
      <c r="B23" s="6" t="s">
        <v>36</v>
      </c>
      <c r="C23" s="6" t="s">
        <v>84</v>
      </c>
      <c r="D23" s="7" t="n">
        <v>11.5</v>
      </c>
      <c r="E23" s="7" t="n">
        <v>11.5</v>
      </c>
      <c r="F23" s="6" t="n">
        <v>2</v>
      </c>
      <c r="G23" s="7" t="n">
        <v>9.1</v>
      </c>
      <c r="H23" s="6" t="s">
        <v>31</v>
      </c>
      <c r="I23" s="6" t="str">
        <f aca="false">IF(G23&lt;D23,"più caro",IF(G23&gt;E23,"più economico","in fascia"))</f>
        <v>più caro</v>
      </c>
      <c r="J23" s="8" t="n">
        <f aca="false">IF(G23&lt;D23,(D23-G23)/G23,IF(G23&gt;E23,(E23-G23)/G23,0))</f>
        <v>0.263736263736264</v>
      </c>
    </row>
    <row r="24" customFormat="false" ht="15" hidden="false" customHeight="false" outlineLevel="0" collapsed="false">
      <c r="A24" s="6" t="s">
        <v>85</v>
      </c>
      <c r="B24" s="6" t="s">
        <v>36</v>
      </c>
      <c r="C24" s="6" t="s">
        <v>86</v>
      </c>
      <c r="D24" s="7" t="n">
        <v>4.1</v>
      </c>
      <c r="E24" s="7" t="n">
        <v>5.8</v>
      </c>
      <c r="F24" s="6" t="n">
        <v>1</v>
      </c>
      <c r="G24" s="7" t="n">
        <v>4.5</v>
      </c>
      <c r="H24" s="6" t="s">
        <v>39</v>
      </c>
      <c r="I24" s="6" t="str">
        <f aca="false">IF(G24&lt;D24,"più caro",IF(G24&gt;E24,"più economico","in fascia"))</f>
        <v>in fascia</v>
      </c>
      <c r="J24" s="8" t="n">
        <f aca="false">IF(G24&lt;D24,(D24-G24)/G24,IF(G24&gt;E24,(E24-G24)/G24,0))</f>
        <v>0</v>
      </c>
    </row>
    <row r="25" customFormat="false" ht="15" hidden="false" customHeight="false" outlineLevel="0" collapsed="false">
      <c r="A25" s="6" t="s">
        <v>87</v>
      </c>
      <c r="B25" s="6" t="s">
        <v>36</v>
      </c>
      <c r="C25" s="6" t="s">
        <v>88</v>
      </c>
      <c r="D25" s="7" t="n">
        <v>6.5</v>
      </c>
      <c r="E25" s="7" t="n">
        <v>6.5</v>
      </c>
      <c r="F25" s="6" t="n">
        <v>1</v>
      </c>
      <c r="G25" s="7" t="n">
        <v>3.49</v>
      </c>
      <c r="H25" s="6" t="s">
        <v>39</v>
      </c>
      <c r="I25" s="6" t="str">
        <f aca="false">IF(G25&lt;D25,"più caro",IF(G25&gt;E25,"più economico","in fascia"))</f>
        <v>più caro</v>
      </c>
      <c r="J25" s="8" t="n">
        <f aca="false">IF(G25&lt;D25,(D25-G25)/G25,IF(G25&gt;E25,(E25-G25)/G25,0))</f>
        <v>0.862464183381089</v>
      </c>
    </row>
    <row r="26" customFormat="false" ht="15" hidden="false" customHeight="false" outlineLevel="0" collapsed="false">
      <c r="A26" s="6" t="s">
        <v>89</v>
      </c>
      <c r="B26" s="6" t="s">
        <v>36</v>
      </c>
      <c r="C26" s="6" t="s">
        <v>90</v>
      </c>
      <c r="D26" s="7" t="n">
        <v>4.95</v>
      </c>
      <c r="E26" s="7" t="n">
        <v>4.95</v>
      </c>
      <c r="F26" s="6" t="n">
        <v>2</v>
      </c>
      <c r="G26" s="7" t="n">
        <v>3.49</v>
      </c>
      <c r="H26" s="6" t="s">
        <v>39</v>
      </c>
      <c r="I26" s="6" t="str">
        <f aca="false">IF(G26&lt;D26,"più caro",IF(G26&gt;E26,"più economico","in fascia"))</f>
        <v>più caro</v>
      </c>
      <c r="J26" s="8" t="n">
        <f aca="false">IF(G26&lt;D26,(D26-G26)/G26,IF(G26&gt;E26,(E26-G26)/G26,0))</f>
        <v>0.418338108882521</v>
      </c>
    </row>
    <row r="27" customFormat="false" ht="15" hidden="false" customHeight="false" outlineLevel="0" collapsed="false">
      <c r="A27" s="6" t="s">
        <v>91</v>
      </c>
      <c r="B27" s="6" t="s">
        <v>36</v>
      </c>
      <c r="C27" s="6" t="s">
        <v>92</v>
      </c>
      <c r="D27" s="7" t="n">
        <v>4.95</v>
      </c>
      <c r="E27" s="7" t="n">
        <v>4.95</v>
      </c>
      <c r="F27" s="6" t="n">
        <v>2</v>
      </c>
      <c r="G27" s="7" t="n">
        <v>3.49</v>
      </c>
      <c r="H27" s="6" t="s">
        <v>39</v>
      </c>
      <c r="I27" s="6" t="str">
        <f aca="false">IF(G27&lt;D27,"più caro",IF(G27&gt;E27,"più economico","in fascia"))</f>
        <v>più caro</v>
      </c>
      <c r="J27" s="8" t="n">
        <f aca="false">IF(G27&lt;D27,(D27-G27)/G27,IF(G27&gt;E27,(E27-G27)/G27,0))</f>
        <v>0.418338108882521</v>
      </c>
    </row>
    <row r="28" customFormat="false" ht="15" hidden="false" customHeight="false" outlineLevel="0" collapsed="false">
      <c r="A28" s="6" t="s">
        <v>95</v>
      </c>
      <c r="B28" s="6" t="s">
        <v>36</v>
      </c>
      <c r="C28" s="6" t="s">
        <v>96</v>
      </c>
      <c r="D28" s="7" t="n">
        <v>4.95</v>
      </c>
      <c r="E28" s="7" t="n">
        <v>4.95</v>
      </c>
      <c r="F28" s="6" t="n">
        <v>2</v>
      </c>
      <c r="G28" s="7" t="n">
        <v>3.49</v>
      </c>
      <c r="H28" s="6" t="s">
        <v>39</v>
      </c>
      <c r="I28" s="6" t="str">
        <f aca="false">IF(G28&lt;D28,"più caro",IF(G28&gt;E28,"più economico","in fascia"))</f>
        <v>più caro</v>
      </c>
      <c r="J28" s="8" t="n">
        <f aca="false">IF(G28&lt;D28,(D28-G28)/G28,IF(G28&gt;E28,(E28-G28)/G28,0))</f>
        <v>0.418338108882521</v>
      </c>
    </row>
    <row r="29" customFormat="false" ht="15" hidden="false" customHeight="false" outlineLevel="0" collapsed="false">
      <c r="A29" s="6" t="s">
        <v>97</v>
      </c>
      <c r="B29" s="6" t="s">
        <v>36</v>
      </c>
      <c r="C29" s="6" t="s">
        <v>98</v>
      </c>
      <c r="D29" s="7" t="n">
        <v>4.95</v>
      </c>
      <c r="E29" s="7" t="n">
        <v>4.95</v>
      </c>
      <c r="F29" s="6" t="n">
        <v>2</v>
      </c>
      <c r="G29" s="7" t="n">
        <v>3.49</v>
      </c>
      <c r="H29" s="6" t="s">
        <v>39</v>
      </c>
      <c r="I29" s="6" t="str">
        <f aca="false">IF(G29&lt;D29,"più caro",IF(G29&gt;E29,"più economico","in fascia"))</f>
        <v>più caro</v>
      </c>
      <c r="J29" s="8" t="n">
        <f aca="false">IF(G29&lt;D29,(D29-G29)/G29,IF(G29&gt;E29,(E29-G29)/G29,0))</f>
        <v>0.418338108882521</v>
      </c>
    </row>
    <row r="30" customFormat="false" ht="15" hidden="false" customHeight="false" outlineLevel="0" collapsed="false">
      <c r="A30" s="6" t="s">
        <v>99</v>
      </c>
      <c r="B30" s="6" t="s">
        <v>36</v>
      </c>
      <c r="C30" s="6" t="s">
        <v>100</v>
      </c>
      <c r="D30" s="7" t="n">
        <v>8.9</v>
      </c>
      <c r="E30" s="7" t="n">
        <v>8.9</v>
      </c>
      <c r="F30" s="6" t="n">
        <v>2</v>
      </c>
      <c r="G30" s="7" t="n">
        <v>8.2</v>
      </c>
      <c r="H30" s="6" t="s">
        <v>31</v>
      </c>
      <c r="I30" s="6" t="str">
        <f aca="false">IF(G30&lt;D30,"più caro",IF(G30&gt;E30,"più economico","in fascia"))</f>
        <v>più caro</v>
      </c>
      <c r="J30" s="8" t="n">
        <f aca="false">IF(G30&lt;D30,(D30-G30)/G30,IF(G30&gt;E30,(E30-G30)/G30,0))</f>
        <v>0.0853658536585367</v>
      </c>
    </row>
    <row r="31" customFormat="false" ht="15" hidden="false" customHeight="false" outlineLevel="0" collapsed="false">
      <c r="A31" s="6" t="s">
        <v>101</v>
      </c>
      <c r="B31" s="6" t="s">
        <v>36</v>
      </c>
      <c r="C31" s="6" t="s">
        <v>102</v>
      </c>
      <c r="D31" s="7" t="n">
        <v>8.95</v>
      </c>
      <c r="E31" s="7" t="n">
        <v>10</v>
      </c>
      <c r="F31" s="6" t="n">
        <v>2</v>
      </c>
      <c r="G31" s="7" t="n">
        <v>8.8</v>
      </c>
      <c r="H31" s="6" t="s">
        <v>31</v>
      </c>
      <c r="I31" s="6" t="str">
        <f aca="false">IF(G31&lt;D31,"più caro",IF(G31&gt;E31,"più economico","in fascia"))</f>
        <v>più caro</v>
      </c>
      <c r="J31" s="8" t="n">
        <f aca="false">IF(G31&lt;D31,(D31-G31)/G31,IF(G31&gt;E31,(E31-G31)/G31,0))</f>
        <v>0.0170454545454544</v>
      </c>
    </row>
    <row r="32" customFormat="false" ht="15" hidden="false" customHeight="false" outlineLevel="0" collapsed="false">
      <c r="A32" s="6" t="s">
        <v>103</v>
      </c>
      <c r="B32" s="6" t="s">
        <v>36</v>
      </c>
      <c r="C32" s="6" t="s">
        <v>104</v>
      </c>
      <c r="D32" s="7" t="n">
        <v>4</v>
      </c>
      <c r="E32" s="7" t="n">
        <v>4</v>
      </c>
      <c r="F32" s="6" t="n">
        <v>3</v>
      </c>
      <c r="G32" s="7" t="n">
        <v>3.61</v>
      </c>
      <c r="H32" s="6" t="s">
        <v>31</v>
      </c>
      <c r="I32" s="6" t="str">
        <f aca="false">IF(G32&lt;D32,"più caro",IF(G32&gt;E32,"più economico","in fascia"))</f>
        <v>più caro</v>
      </c>
      <c r="J32" s="8" t="n">
        <f aca="false">IF(G32&lt;D32,(D32-G32)/G32,IF(G32&gt;E32,(E32-G32)/G32,0))</f>
        <v>0.10803324099723</v>
      </c>
    </row>
    <row r="33" customFormat="false" ht="15" hidden="false" customHeight="false" outlineLevel="0" collapsed="false">
      <c r="A33" s="6" t="s">
        <v>107</v>
      </c>
      <c r="B33" s="6" t="s">
        <v>36</v>
      </c>
      <c r="C33" s="6" t="s">
        <v>108</v>
      </c>
      <c r="D33" s="7" t="n">
        <v>7</v>
      </c>
      <c r="E33" s="7" t="n">
        <v>7</v>
      </c>
      <c r="F33" s="6" t="n">
        <v>3</v>
      </c>
      <c r="G33" s="7" t="n">
        <v>5.95</v>
      </c>
      <c r="H33" s="6" t="s">
        <v>39</v>
      </c>
      <c r="I33" s="6" t="str">
        <f aca="false">IF(G33&lt;D33,"più caro",IF(G33&gt;E33,"più economico","in fascia"))</f>
        <v>più caro</v>
      </c>
      <c r="J33" s="8" t="n">
        <f aca="false">IF(G33&lt;D33,(D33-G33)/G33,IF(G33&gt;E33,(E33-G33)/G33,0))</f>
        <v>0.176470588235294</v>
      </c>
    </row>
    <row r="34" customFormat="false" ht="15" hidden="false" customHeight="false" outlineLevel="0" collapsed="false">
      <c r="A34" s="6" t="s">
        <v>109</v>
      </c>
      <c r="B34" s="6" t="s">
        <v>36</v>
      </c>
      <c r="C34" s="6" t="s">
        <v>110</v>
      </c>
      <c r="D34" s="7" t="n">
        <v>4.2</v>
      </c>
      <c r="E34" s="7" t="n">
        <v>4.2</v>
      </c>
      <c r="F34" s="6" t="n">
        <v>1</v>
      </c>
      <c r="G34" s="7" t="n">
        <v>4.57</v>
      </c>
      <c r="H34" s="6" t="s">
        <v>31</v>
      </c>
      <c r="I34" s="6" t="str">
        <f aca="false">IF(G34&lt;D34,"più caro",IF(G34&gt;E34,"più economico","in fascia"))</f>
        <v>più economico</v>
      </c>
      <c r="J34" s="8" t="n">
        <f aca="false">IF(G34&lt;D34,(D34-G34)/G34,IF(G34&gt;E34,(E34-G34)/G34,0))</f>
        <v>-0.0809628008752735</v>
      </c>
    </row>
    <row r="35" customFormat="false" ht="15" hidden="false" customHeight="false" outlineLevel="0" collapsed="false">
      <c r="A35" s="6" t="s">
        <v>112</v>
      </c>
      <c r="B35" s="6" t="s">
        <v>36</v>
      </c>
      <c r="C35" s="6" t="s">
        <v>113</v>
      </c>
      <c r="D35" s="7" t="n">
        <v>8.9</v>
      </c>
      <c r="E35" s="7" t="n">
        <v>10.5</v>
      </c>
      <c r="F35" s="6" t="n">
        <v>2</v>
      </c>
      <c r="G35" s="7" t="n">
        <v>7.39</v>
      </c>
      <c r="H35" s="6" t="s">
        <v>31</v>
      </c>
      <c r="I35" s="6" t="str">
        <f aca="false">IF(G35&lt;D35,"più caro",IF(G35&gt;E35,"più economico","in fascia"))</f>
        <v>più caro</v>
      </c>
      <c r="J35" s="8" t="n">
        <f aca="false">IF(G35&lt;D35,(D35-G35)/G35,IF(G35&gt;E35,(E35-G35)/G35,0))</f>
        <v>0.204330175913397</v>
      </c>
    </row>
    <row r="36" customFormat="false" ht="15" hidden="false" customHeight="false" outlineLevel="0" collapsed="false">
      <c r="A36" s="6" t="s">
        <v>114</v>
      </c>
      <c r="B36" s="6" t="s">
        <v>36</v>
      </c>
      <c r="C36" s="6" t="s">
        <v>115</v>
      </c>
      <c r="D36" s="7" t="n">
        <v>4.99</v>
      </c>
      <c r="E36" s="7" t="n">
        <v>4.99</v>
      </c>
      <c r="F36" s="6" t="n">
        <v>2</v>
      </c>
      <c r="G36" s="7" t="n">
        <v>4.4</v>
      </c>
      <c r="H36" s="6" t="s">
        <v>31</v>
      </c>
      <c r="I36" s="6" t="str">
        <f aca="false">IF(G36&lt;D36,"più caro",IF(G36&gt;E36,"più economico","in fascia"))</f>
        <v>più caro</v>
      </c>
      <c r="J36" s="8" t="n">
        <f aca="false">IF(G36&lt;D36,(D36-G36)/G36,IF(G36&gt;E36,(E36-G36)/G36,0))</f>
        <v>0.134090909090909</v>
      </c>
    </row>
    <row r="37" customFormat="false" ht="15" hidden="false" customHeight="false" outlineLevel="0" collapsed="false">
      <c r="A37" s="6" t="s">
        <v>116</v>
      </c>
      <c r="B37" s="6" t="s">
        <v>36</v>
      </c>
      <c r="C37" s="6" t="s">
        <v>117</v>
      </c>
      <c r="D37" s="7" t="n">
        <v>9.5</v>
      </c>
      <c r="E37" s="7" t="n">
        <v>11.9</v>
      </c>
      <c r="F37" s="6" t="n">
        <v>2</v>
      </c>
      <c r="G37" s="7" t="n">
        <v>9.5</v>
      </c>
      <c r="H37" s="6" t="s">
        <v>31</v>
      </c>
      <c r="I37" s="6" t="str">
        <f aca="false">IF(G37&lt;D37,"più caro",IF(G37&gt;E37,"più economico","in fascia"))</f>
        <v>in fascia</v>
      </c>
      <c r="J37" s="8" t="n">
        <f aca="false">IF(G37&lt;D37,(D37-G37)/G37,IF(G37&gt;E37,(E37-G37)/G37,0))</f>
        <v>0</v>
      </c>
    </row>
    <row r="38" customFormat="false" ht="15" hidden="false" customHeight="false" outlineLevel="0" collapsed="false">
      <c r="A38" s="6" t="s">
        <v>118</v>
      </c>
      <c r="B38" s="6" t="s">
        <v>36</v>
      </c>
      <c r="C38" s="6" t="s">
        <v>119</v>
      </c>
      <c r="D38" s="7" t="n">
        <v>11.9</v>
      </c>
      <c r="E38" s="7" t="n">
        <v>11.9</v>
      </c>
      <c r="F38" s="6" t="n">
        <v>1</v>
      </c>
      <c r="G38" s="7" t="n">
        <v>11.95</v>
      </c>
      <c r="H38" s="6" t="s">
        <v>39</v>
      </c>
      <c r="I38" s="6" t="str">
        <f aca="false">IF(G38&lt;D38,"più caro",IF(G38&gt;E38,"più economico","in fascia"))</f>
        <v>più economico</v>
      </c>
      <c r="J38" s="8" t="n">
        <f aca="false">IF(G38&lt;D38,(D38-G38)/G38,IF(G38&gt;E38,(E38-G38)/G38,0))</f>
        <v>-0.00418410041840995</v>
      </c>
    </row>
    <row r="39" customFormat="false" ht="15" hidden="false" customHeight="false" outlineLevel="0" collapsed="false">
      <c r="A39" s="6" t="s">
        <v>120</v>
      </c>
      <c r="B39" s="6" t="s">
        <v>36</v>
      </c>
      <c r="C39" s="6" t="s">
        <v>121</v>
      </c>
      <c r="D39" s="7" t="n">
        <v>4.8</v>
      </c>
      <c r="E39" s="7" t="n">
        <v>4.8</v>
      </c>
      <c r="F39" s="6" t="n">
        <v>1</v>
      </c>
      <c r="G39" s="7" t="n">
        <v>3.33</v>
      </c>
      <c r="H39" s="6" t="s">
        <v>31</v>
      </c>
      <c r="I39" s="6" t="str">
        <f aca="false">IF(G39&lt;D39,"più caro",IF(G39&gt;E39,"più economico","in fascia"))</f>
        <v>più caro</v>
      </c>
      <c r="J39" s="8" t="n">
        <f aca="false">IF(G39&lt;D39,(D39-G39)/G39,IF(G39&gt;E39,(E39-G39)/G39,0))</f>
        <v>0.441441441441441</v>
      </c>
    </row>
    <row r="40" customFormat="false" ht="15" hidden="false" customHeight="false" outlineLevel="0" collapsed="false">
      <c r="A40" s="6" t="s">
        <v>122</v>
      </c>
      <c r="B40" s="6" t="s">
        <v>36</v>
      </c>
      <c r="C40" s="6" t="s">
        <v>123</v>
      </c>
      <c r="D40" s="7" t="n">
        <v>11.55</v>
      </c>
      <c r="E40" s="7" t="n">
        <v>12</v>
      </c>
      <c r="F40" s="6" t="n">
        <v>1</v>
      </c>
      <c r="G40" s="7" t="n">
        <v>29.95</v>
      </c>
      <c r="H40" s="6" t="s">
        <v>39</v>
      </c>
      <c r="I40" s="6" t="str">
        <f aca="false">IF(G40&lt;D40,"più caro",IF(G40&gt;E40,"più economico","in fascia"))</f>
        <v>più economico</v>
      </c>
      <c r="J40" s="8" t="n">
        <f aca="false">IF(G40&lt;D40,(D40-G40)/G40,IF(G40&gt;E40,(E40-G40)/G40,0))</f>
        <v>-0.599332220367279</v>
      </c>
    </row>
    <row r="41" customFormat="false" ht="15" hidden="false" customHeight="false" outlineLevel="0" collapsed="false">
      <c r="A41" s="6" t="s">
        <v>124</v>
      </c>
      <c r="B41" s="6" t="s">
        <v>125</v>
      </c>
      <c r="C41" s="6" t="s">
        <v>126</v>
      </c>
      <c r="D41" s="7" t="n">
        <v>39.95</v>
      </c>
      <c r="E41" s="7" t="n">
        <v>39.95</v>
      </c>
      <c r="F41" s="6" t="n">
        <v>1</v>
      </c>
      <c r="G41" s="7" t="n">
        <v>29.95</v>
      </c>
      <c r="H41" s="6" t="s">
        <v>39</v>
      </c>
      <c r="I41" s="6" t="str">
        <f aca="false">IF(G41&lt;D41,"più caro",IF(G41&gt;E41,"più economico","in fascia"))</f>
        <v>più caro</v>
      </c>
      <c r="J41" s="8" t="n">
        <f aca="false">IF(G41&lt;D41,(D41-G41)/G41,IF(G41&gt;E41,(E41-G41)/G41,0))</f>
        <v>0.333889816360601</v>
      </c>
    </row>
    <row r="42" customFormat="false" ht="15" hidden="false" customHeight="false" outlineLevel="0" collapsed="false">
      <c r="A42" s="6" t="s">
        <v>127</v>
      </c>
      <c r="B42" s="6" t="s">
        <v>125</v>
      </c>
      <c r="C42" s="6" t="s">
        <v>128</v>
      </c>
      <c r="D42" s="7" t="n">
        <v>29.95</v>
      </c>
      <c r="E42" s="7" t="n">
        <v>29.95</v>
      </c>
      <c r="F42" s="6" t="n">
        <v>1</v>
      </c>
      <c r="G42" s="7" t="n">
        <v>29.95</v>
      </c>
      <c r="H42" s="6" t="s">
        <v>39</v>
      </c>
      <c r="I42" s="6" t="str">
        <f aca="false">IF(G42&lt;D42,"più caro",IF(G42&gt;E42,"più economico","in fascia"))</f>
        <v>in fascia</v>
      </c>
      <c r="J42" s="8" t="n">
        <f aca="false">IF(G42&lt;D42,(D42-G42)/G42,IF(G42&gt;E42,(E42-G42)/G42,0))</f>
        <v>0</v>
      </c>
    </row>
    <row r="43" customFormat="false" ht="15" hidden="false" customHeight="false" outlineLevel="0" collapsed="false">
      <c r="A43" s="6" t="s">
        <v>129</v>
      </c>
      <c r="B43" s="6" t="s">
        <v>130</v>
      </c>
      <c r="C43" s="6" t="s">
        <v>131</v>
      </c>
      <c r="D43" s="7" t="n">
        <v>110</v>
      </c>
      <c r="E43" s="7" t="n">
        <v>110</v>
      </c>
      <c r="F43" s="6" t="n">
        <v>1</v>
      </c>
      <c r="G43" s="7" t="n">
        <v>89.99</v>
      </c>
      <c r="H43" s="6" t="s">
        <v>31</v>
      </c>
      <c r="I43" s="6" t="str">
        <f aca="false">IF(G43&lt;D43,"più caro",IF(G43&gt;E43,"più economico","in fascia"))</f>
        <v>più caro</v>
      </c>
      <c r="J43" s="8" t="n">
        <f aca="false">IF(G43&lt;D43,(D43-G43)/G43,IF(G43&gt;E43,(E43-G43)/G43,0))</f>
        <v>0.222358039782198</v>
      </c>
    </row>
    <row r="44" customFormat="false" ht="15" hidden="false" customHeight="false" outlineLevel="0" collapsed="false">
      <c r="A44" s="6" t="s">
        <v>132</v>
      </c>
      <c r="B44" s="6" t="s">
        <v>130</v>
      </c>
      <c r="C44" s="6" t="s">
        <v>133</v>
      </c>
      <c r="D44" s="7" t="n">
        <v>59</v>
      </c>
      <c r="E44" s="7" t="n">
        <v>69</v>
      </c>
      <c r="F44" s="6" t="n">
        <v>1</v>
      </c>
      <c r="G44" s="7" t="n">
        <v>38.99</v>
      </c>
      <c r="H44" s="6" t="s">
        <v>31</v>
      </c>
      <c r="I44" s="6" t="str">
        <f aca="false">IF(G44&lt;D44,"più caro",IF(G44&gt;E44,"più economico","in fascia"))</f>
        <v>più caro</v>
      </c>
      <c r="J44" s="8" t="n">
        <f aca="false">IF(G44&lt;D44,(D44-G44)/G44,IF(G44&gt;E44,(E44-G44)/G44,0))</f>
        <v>0.513208515003847</v>
      </c>
    </row>
    <row r="45" customFormat="false" ht="15" hidden="false" customHeight="false" outlineLevel="0" collapsed="false">
      <c r="A45" s="6" t="s">
        <v>134</v>
      </c>
      <c r="B45" s="6" t="s">
        <v>130</v>
      </c>
      <c r="C45" s="6" t="s">
        <v>135</v>
      </c>
      <c r="D45" s="7" t="n">
        <v>12</v>
      </c>
      <c r="E45" s="7" t="n">
        <v>12</v>
      </c>
      <c r="F45" s="6" t="n">
        <v>1</v>
      </c>
      <c r="G45" s="7" t="n">
        <v>8.59</v>
      </c>
      <c r="H45" s="6" t="s">
        <v>31</v>
      </c>
      <c r="I45" s="6" t="str">
        <f aca="false">IF(G45&lt;D45,"più caro",IF(G45&gt;E45,"più economico","in fascia"))</f>
        <v>più caro</v>
      </c>
      <c r="J45" s="8" t="n">
        <f aca="false">IF(G45&lt;D45,(D45-G45)/G45,IF(G45&gt;E45,(E45-G45)/G45,0))</f>
        <v>0.39697322467986</v>
      </c>
    </row>
    <row r="46" customFormat="false" ht="15" hidden="false" customHeight="false" outlineLevel="0" collapsed="false">
      <c r="A46" s="6" t="s">
        <v>136</v>
      </c>
      <c r="B46" s="6" t="s">
        <v>130</v>
      </c>
      <c r="C46" s="6" t="s">
        <v>137</v>
      </c>
      <c r="D46" s="7" t="n">
        <v>65</v>
      </c>
      <c r="E46" s="7" t="n">
        <v>75</v>
      </c>
      <c r="F46" s="6" t="n">
        <v>1</v>
      </c>
      <c r="G46" s="7" t="n">
        <v>58.29</v>
      </c>
      <c r="H46" s="6" t="s">
        <v>31</v>
      </c>
      <c r="I46" s="6" t="str">
        <f aca="false">IF(G46&lt;D46,"più caro",IF(G46&gt;E46,"più economico","in fascia"))</f>
        <v>più caro</v>
      </c>
      <c r="J46" s="8" t="n">
        <f aca="false">IF(G46&lt;D46,(D46-G46)/G46,IF(G46&gt;E46,(E46-G46)/G46,0))</f>
        <v>0.11511408474867</v>
      </c>
    </row>
    <row r="47" customFormat="false" ht="15" hidden="false" customHeight="false" outlineLevel="0" collapsed="false">
      <c r="A47" s="6" t="s">
        <v>139</v>
      </c>
      <c r="B47" s="6" t="s">
        <v>140</v>
      </c>
      <c r="C47" s="6" t="s">
        <v>141</v>
      </c>
      <c r="D47" s="7" t="n">
        <v>2.5</v>
      </c>
      <c r="E47" s="7" t="n">
        <v>2.5</v>
      </c>
      <c r="F47" s="6" t="n">
        <v>1</v>
      </c>
      <c r="G47" s="7" t="n">
        <v>3</v>
      </c>
      <c r="H47" s="6" t="s">
        <v>142</v>
      </c>
      <c r="I47" s="6" t="str">
        <f aca="false">IF(G47&lt;D47,"più caro",IF(G47&gt;E47,"più economico","in fascia"))</f>
        <v>più economico</v>
      </c>
      <c r="J47" s="8" t="n">
        <f aca="false">IF(G47&lt;D47,(D47-G47)/G47,IF(G47&gt;E47,(E47-G47)/G47,0))</f>
        <v>-0.166666666666667</v>
      </c>
    </row>
    <row r="48" customFormat="false" ht="15" hidden="false" customHeight="false" outlineLevel="0" collapsed="false">
      <c r="A48" s="6" t="s">
        <v>143</v>
      </c>
      <c r="B48" s="6" t="s">
        <v>144</v>
      </c>
      <c r="C48" s="6" t="s">
        <v>145</v>
      </c>
      <c r="D48" s="7" t="n">
        <v>6.7</v>
      </c>
      <c r="E48" s="7" t="n">
        <v>6.7</v>
      </c>
      <c r="F48" s="6" t="n">
        <v>2</v>
      </c>
      <c r="G48" s="7" t="n">
        <v>4.95</v>
      </c>
      <c r="H48" s="6" t="s">
        <v>147</v>
      </c>
      <c r="I48" s="6" t="str">
        <f aca="false">IF(G48&lt;D48,"più caro",IF(G48&gt;E48,"più economico","in fascia"))</f>
        <v>più caro</v>
      </c>
      <c r="J48" s="8" t="n">
        <f aca="false">IF(G48&lt;D48,(D48-G48)/G48,IF(G48&gt;E48,(E48-G48)/G48,0))</f>
        <v>0.353535353535354</v>
      </c>
    </row>
    <row r="49" customFormat="false" ht="15" hidden="false" customHeight="false" outlineLevel="0" collapsed="false">
      <c r="A49" s="6" t="s">
        <v>148</v>
      </c>
      <c r="B49" s="6" t="s">
        <v>144</v>
      </c>
      <c r="C49" s="6" t="s">
        <v>149</v>
      </c>
      <c r="D49" s="7" t="n">
        <v>6.5</v>
      </c>
      <c r="E49" s="7" t="n">
        <v>6.5</v>
      </c>
      <c r="F49" s="6" t="n">
        <v>1</v>
      </c>
      <c r="G49" s="7" t="n">
        <v>8.08</v>
      </c>
      <c r="H49" s="6" t="s">
        <v>105</v>
      </c>
      <c r="I49" s="6" t="str">
        <f aca="false">IF(G49&lt;D49,"più caro",IF(G49&gt;E49,"più economico","in fascia"))</f>
        <v>più economico</v>
      </c>
      <c r="J49" s="8" t="n">
        <f aca="false">IF(G49&lt;D49,(D49-G49)/G49,IF(G49&gt;E49,(E49-G49)/G49,0))</f>
        <v>-0.195544554455446</v>
      </c>
    </row>
    <row r="50" customFormat="false" ht="15" hidden="false" customHeight="false" outlineLevel="0" collapsed="false">
      <c r="A50" s="6" t="s">
        <v>151</v>
      </c>
      <c r="B50" s="6" t="s">
        <v>144</v>
      </c>
      <c r="C50" s="6" t="s">
        <v>152</v>
      </c>
      <c r="D50" s="7" t="n">
        <v>5.9</v>
      </c>
      <c r="E50" s="7" t="n">
        <v>5.9</v>
      </c>
      <c r="F50" s="6" t="n">
        <v>2</v>
      </c>
      <c r="G50" s="7" t="n">
        <v>4.95</v>
      </c>
      <c r="H50" s="6" t="s">
        <v>147</v>
      </c>
      <c r="I50" s="6" t="str">
        <f aca="false">IF(G50&lt;D50,"più caro",IF(G50&gt;E50,"più economico","in fascia"))</f>
        <v>più caro</v>
      </c>
      <c r="J50" s="8" t="n">
        <f aca="false">IF(G50&lt;D50,(D50-G50)/G50,IF(G50&gt;E50,(E50-G50)/G50,0))</f>
        <v>0.191919191919192</v>
      </c>
    </row>
    <row r="51" customFormat="false" ht="15" hidden="false" customHeight="false" outlineLevel="0" collapsed="false">
      <c r="A51" s="6" t="s">
        <v>154</v>
      </c>
      <c r="B51" s="6" t="s">
        <v>155</v>
      </c>
      <c r="C51" s="6" t="s">
        <v>156</v>
      </c>
      <c r="D51" s="7" t="n">
        <v>6.95</v>
      </c>
      <c r="E51" s="7" t="n">
        <v>6.95</v>
      </c>
      <c r="F51" s="6" t="n">
        <v>1</v>
      </c>
      <c r="G51" s="7" t="n">
        <v>6.85</v>
      </c>
      <c r="H51" s="6" t="s">
        <v>31</v>
      </c>
      <c r="I51" s="6" t="str">
        <f aca="false">IF(G51&lt;D51,"più caro",IF(G51&gt;E51,"più economico","in fascia"))</f>
        <v>più caro</v>
      </c>
      <c r="J51" s="8" t="n">
        <f aca="false">IF(G51&lt;D51,(D51-G51)/G51,IF(G51&gt;E51,(E51-G51)/G51,0))</f>
        <v>0.0145985401459855</v>
      </c>
    </row>
    <row r="52" customFormat="false" ht="15" hidden="false" customHeight="false" outlineLevel="0" collapsed="false">
      <c r="A52" s="6" t="s">
        <v>157</v>
      </c>
      <c r="B52" s="6" t="s">
        <v>155</v>
      </c>
      <c r="C52" s="6" t="s">
        <v>158</v>
      </c>
      <c r="D52" s="7" t="n">
        <v>7.95</v>
      </c>
      <c r="E52" s="7" t="n">
        <v>7.95</v>
      </c>
      <c r="F52" s="6" t="n">
        <v>1</v>
      </c>
      <c r="G52" s="7" t="n">
        <v>6.85</v>
      </c>
      <c r="H52" s="6" t="s">
        <v>31</v>
      </c>
      <c r="I52" s="6" t="str">
        <f aca="false">IF(G52&lt;D52,"più caro",IF(G52&gt;E52,"più economico","in fascia"))</f>
        <v>più caro</v>
      </c>
      <c r="J52" s="8" t="n">
        <f aca="false">IF(G52&lt;D52,(D52-G52)/G52,IF(G52&gt;E52,(E52-G52)/G52,0))</f>
        <v>0.16058394160584</v>
      </c>
    </row>
    <row r="53" customFormat="false" ht="15" hidden="false" customHeight="false" outlineLevel="0" collapsed="false">
      <c r="A53" s="6" t="s">
        <v>159</v>
      </c>
      <c r="B53" s="6" t="s">
        <v>160</v>
      </c>
      <c r="C53" s="6" t="s">
        <v>161</v>
      </c>
      <c r="D53" s="7" t="n">
        <v>13.99</v>
      </c>
      <c r="E53" s="7" t="n">
        <v>13.99</v>
      </c>
      <c r="F53" s="6" t="n">
        <v>1</v>
      </c>
      <c r="G53" s="7" t="n">
        <v>8.99</v>
      </c>
      <c r="H53" s="6" t="s">
        <v>31</v>
      </c>
      <c r="I53" s="6" t="str">
        <f aca="false">IF(G53&lt;D53,"più caro",IF(G53&gt;E53,"più economico","in fascia"))</f>
        <v>più caro</v>
      </c>
      <c r="J53" s="8" t="n">
        <f aca="false">IF(G53&lt;D53,(D53-G53)/G53,IF(G53&gt;E53,(E53-G53)/G53,0))</f>
        <v>0.556173526140156</v>
      </c>
    </row>
    <row r="54" customFormat="false" ht="15" hidden="false" customHeight="false" outlineLevel="0" collapsed="false">
      <c r="A54" s="6" t="s">
        <v>163</v>
      </c>
      <c r="B54" s="6" t="s">
        <v>164</v>
      </c>
      <c r="C54" s="6" t="s">
        <v>165</v>
      </c>
      <c r="D54" s="7" t="n">
        <v>245</v>
      </c>
      <c r="E54" s="7" t="n">
        <v>279</v>
      </c>
      <c r="F54" s="6" t="n">
        <v>1</v>
      </c>
      <c r="G54" s="7" t="n">
        <v>229</v>
      </c>
      <c r="H54" s="6" t="s">
        <v>31</v>
      </c>
      <c r="I54" s="6" t="str">
        <f aca="false">IF(G54&lt;D54,"più caro",IF(G54&gt;E54,"più economico","in fascia"))</f>
        <v>più caro</v>
      </c>
      <c r="J54" s="8" t="n">
        <f aca="false">IF(G54&lt;D54,(D54-G54)/G54,IF(G54&gt;E54,(E54-G54)/G54,0))</f>
        <v>0.0698689956331878</v>
      </c>
    </row>
    <row r="55" customFormat="false" ht="15" hidden="false" customHeight="false" outlineLevel="0" collapsed="false">
      <c r="A55" s="6" t="s">
        <v>166</v>
      </c>
      <c r="B55" s="6" t="s">
        <v>164</v>
      </c>
      <c r="C55" s="6" t="s">
        <v>167</v>
      </c>
      <c r="D55" s="7" t="n">
        <v>274</v>
      </c>
      <c r="E55" s="7" t="n">
        <v>284</v>
      </c>
      <c r="F55" s="6" t="n">
        <v>1</v>
      </c>
      <c r="G55" s="7" t="n">
        <v>257.89</v>
      </c>
      <c r="H55" s="6" t="s">
        <v>31</v>
      </c>
      <c r="I55" s="6" t="str">
        <f aca="false">IF(G55&lt;D55,"più caro",IF(G55&gt;E55,"più economico","in fascia"))</f>
        <v>più caro</v>
      </c>
      <c r="J55" s="8" t="n">
        <f aca="false">IF(G55&lt;D55,(D55-G55)/G55,IF(G55&gt;E55,(E55-G55)/G55,0))</f>
        <v>0.0624684943192835</v>
      </c>
    </row>
    <row r="56" customFormat="false" ht="15" hidden="false" customHeight="false" outlineLevel="0" collapsed="false">
      <c r="A56" s="6" t="s">
        <v>168</v>
      </c>
      <c r="B56" s="6" t="s">
        <v>164</v>
      </c>
      <c r="C56" s="6" t="s">
        <v>169</v>
      </c>
      <c r="D56" s="7" t="n">
        <v>125</v>
      </c>
      <c r="E56" s="7" t="n">
        <v>139</v>
      </c>
      <c r="F56" s="6" t="n">
        <v>1</v>
      </c>
      <c r="G56" s="7" t="n">
        <v>201</v>
      </c>
      <c r="H56" s="6" t="s">
        <v>31</v>
      </c>
      <c r="I56" s="6" t="str">
        <f aca="false">IF(G56&lt;D56,"più caro",IF(G56&gt;E56,"più economico","in fascia"))</f>
        <v>più economico</v>
      </c>
      <c r="J56" s="8" t="n">
        <f aca="false">IF(G56&lt;D56,(D56-G56)/G56,IF(G56&gt;E56,(E56-G56)/G56,0))</f>
        <v>-0.308457711442786</v>
      </c>
    </row>
    <row r="57" customFormat="false" ht="15" hidden="false" customHeight="false" outlineLevel="0" collapsed="false">
      <c r="A57" s="6" t="s">
        <v>170</v>
      </c>
      <c r="B57" s="6" t="s">
        <v>164</v>
      </c>
      <c r="C57" s="6" t="s">
        <v>171</v>
      </c>
      <c r="D57" s="7" t="n">
        <v>89</v>
      </c>
      <c r="E57" s="7" t="n">
        <v>89</v>
      </c>
      <c r="F57" s="6" t="n">
        <v>1</v>
      </c>
      <c r="G57" s="7" t="n">
        <v>82.59</v>
      </c>
      <c r="H57" s="6" t="s">
        <v>31</v>
      </c>
      <c r="I57" s="6" t="str">
        <f aca="false">IF(G57&lt;D57,"più caro",IF(G57&gt;E57,"più economico","in fascia"))</f>
        <v>più caro</v>
      </c>
      <c r="J57" s="8" t="n">
        <f aca="false">IF(G57&lt;D57,(D57-G57)/G57,IF(G57&gt;E57,(E57-G57)/G57,0))</f>
        <v>0.0776123017314444</v>
      </c>
    </row>
    <row r="58" customFormat="false" ht="15" hidden="false" customHeight="false" outlineLevel="0" collapsed="false">
      <c r="A58" s="6" t="s">
        <v>172</v>
      </c>
      <c r="B58" s="6" t="s">
        <v>164</v>
      </c>
      <c r="C58" s="6" t="s">
        <v>173</v>
      </c>
      <c r="D58" s="7" t="n">
        <v>59.9</v>
      </c>
      <c r="E58" s="7" t="n">
        <v>65</v>
      </c>
      <c r="F58" s="6" t="n">
        <v>1</v>
      </c>
      <c r="G58" s="7" t="n">
        <v>57.99</v>
      </c>
      <c r="H58" s="6" t="s">
        <v>31</v>
      </c>
      <c r="I58" s="6" t="str">
        <f aca="false">IF(G58&lt;D58,"più caro",IF(G58&gt;E58,"più economico","in fascia"))</f>
        <v>più caro</v>
      </c>
      <c r="J58" s="8" t="n">
        <f aca="false">IF(G58&lt;D58,(D58-G58)/G58,IF(G58&gt;E58,(E58-G58)/G58,0))</f>
        <v>0.0329367132264183</v>
      </c>
    </row>
    <row r="59" customFormat="false" ht="15" hidden="false" customHeight="false" outlineLevel="0" collapsed="false">
      <c r="A59" s="6" t="s">
        <v>174</v>
      </c>
      <c r="B59" s="6" t="s">
        <v>164</v>
      </c>
      <c r="C59" s="6" t="s">
        <v>175</v>
      </c>
      <c r="D59" s="7" t="n">
        <v>85</v>
      </c>
      <c r="E59" s="7" t="n">
        <v>112</v>
      </c>
      <c r="F59" s="6" t="n">
        <v>1</v>
      </c>
      <c r="G59" s="7" t="n">
        <v>68.49</v>
      </c>
      <c r="H59" s="6" t="s">
        <v>31</v>
      </c>
      <c r="I59" s="6" t="str">
        <f aca="false">IF(G59&lt;D59,"più caro",IF(G59&gt;E59,"più economico","in fascia"))</f>
        <v>più caro</v>
      </c>
      <c r="J59" s="8" t="n">
        <f aca="false">IF(G59&lt;D59,(D59-G59)/G59,IF(G59&gt;E59,(E59-G59)/G59,0))</f>
        <v>0.241057088626077</v>
      </c>
    </row>
    <row r="60" customFormat="false" ht="15" hidden="false" customHeight="false" outlineLevel="0" collapsed="false">
      <c r="A60" s="6" t="s">
        <v>177</v>
      </c>
      <c r="B60" s="6" t="s">
        <v>178</v>
      </c>
      <c r="C60" s="6" t="s">
        <v>179</v>
      </c>
      <c r="D60" s="7" t="n">
        <v>23</v>
      </c>
      <c r="E60" s="7" t="n">
        <v>23</v>
      </c>
      <c r="F60" s="6" t="n">
        <v>2</v>
      </c>
      <c r="G60" s="7" t="n">
        <v>19.7</v>
      </c>
      <c r="H60" s="6" t="s">
        <v>105</v>
      </c>
      <c r="I60" s="6" t="str">
        <f aca="false">IF(G60&lt;D60,"più caro",IF(G60&gt;E60,"più economico","in fascia"))</f>
        <v>più caro</v>
      </c>
      <c r="J60" s="8" t="n">
        <f aca="false">IF(G60&lt;D60,(D60-G60)/G60,IF(G60&gt;E60,(E60-G60)/G60,0))</f>
        <v>0.16751269035533</v>
      </c>
    </row>
    <row r="61" customFormat="false" ht="15" hidden="false" customHeight="false" outlineLevel="0" collapsed="false">
      <c r="A61" s="6" t="s">
        <v>180</v>
      </c>
      <c r="B61" s="6" t="s">
        <v>178</v>
      </c>
      <c r="C61" s="6" t="s">
        <v>181</v>
      </c>
      <c r="D61" s="7" t="n">
        <v>25</v>
      </c>
      <c r="E61" s="7" t="n">
        <v>25</v>
      </c>
      <c r="F61" s="6" t="n">
        <v>2</v>
      </c>
      <c r="G61" s="7" t="n">
        <v>19.7</v>
      </c>
      <c r="H61" s="6" t="s">
        <v>105</v>
      </c>
      <c r="I61" s="6" t="str">
        <f aca="false">IF(G61&lt;D61,"più caro",IF(G61&gt;E61,"più economico","in fascia"))</f>
        <v>più caro</v>
      </c>
      <c r="J61" s="8" t="n">
        <f aca="false">IF(G61&lt;D61,(D61-G61)/G61,IF(G61&gt;E61,(E61-G61)/G61,0))</f>
        <v>0.269035532994924</v>
      </c>
    </row>
    <row r="62" customFormat="false" ht="15" hidden="false" customHeight="false" outlineLevel="0" collapsed="false">
      <c r="A62" s="6" t="s">
        <v>182</v>
      </c>
      <c r="B62" s="6" t="s">
        <v>178</v>
      </c>
      <c r="C62" s="6" t="s">
        <v>183</v>
      </c>
      <c r="D62" s="7" t="n">
        <v>15.9</v>
      </c>
      <c r="E62" s="7" t="n">
        <v>15.9</v>
      </c>
      <c r="F62" s="6" t="n">
        <v>1</v>
      </c>
      <c r="G62" s="7" t="n">
        <v>12.68</v>
      </c>
      <c r="H62" s="6" t="s">
        <v>31</v>
      </c>
      <c r="I62" s="6" t="str">
        <f aca="false">IF(G62&lt;D62,"più caro",IF(G62&gt;E62,"più economico","in fascia"))</f>
        <v>più caro</v>
      </c>
      <c r="J62" s="8" t="n">
        <f aca="false">IF(G62&lt;D62,(D62-G62)/G62,IF(G62&gt;E62,(E62-G62)/G62,0))</f>
        <v>0.253943217665615</v>
      </c>
    </row>
    <row r="63" customFormat="false" ht="15" hidden="false" customHeight="false" outlineLevel="0" collapsed="false">
      <c r="A63" s="6" t="s">
        <v>184</v>
      </c>
      <c r="B63" s="6" t="s">
        <v>178</v>
      </c>
      <c r="C63" s="6" t="s">
        <v>185</v>
      </c>
      <c r="D63" s="7" t="n">
        <v>14.9</v>
      </c>
      <c r="E63" s="7" t="n">
        <v>14.9</v>
      </c>
      <c r="F63" s="6" t="n">
        <v>1</v>
      </c>
      <c r="G63" s="7" t="n">
        <v>12.68</v>
      </c>
      <c r="H63" s="6" t="s">
        <v>31</v>
      </c>
      <c r="I63" s="6" t="str">
        <f aca="false">IF(G63&lt;D63,"più caro",IF(G63&gt;E63,"più economico","in fascia"))</f>
        <v>più caro</v>
      </c>
      <c r="J63" s="8" t="n">
        <f aca="false">IF(G63&lt;D63,(D63-G63)/G63,IF(G63&gt;E63,(E63-G63)/G63,0))</f>
        <v>0.175078864353312</v>
      </c>
    </row>
    <row r="64" customFormat="false" ht="15" hidden="false" customHeight="false" outlineLevel="0" collapsed="false">
      <c r="A64" s="6" t="s">
        <v>186</v>
      </c>
      <c r="B64" s="6" t="s">
        <v>178</v>
      </c>
      <c r="C64" s="6" t="s">
        <v>187</v>
      </c>
      <c r="D64" s="7" t="n">
        <v>12.5</v>
      </c>
      <c r="E64" s="7" t="n">
        <v>12.5</v>
      </c>
      <c r="F64" s="6" t="n">
        <v>1</v>
      </c>
      <c r="G64" s="7" t="n">
        <v>11.55</v>
      </c>
      <c r="H64" s="6" t="s">
        <v>31</v>
      </c>
      <c r="I64" s="6" t="str">
        <f aca="false">IF(G64&lt;D64,"più caro",IF(G64&gt;E64,"più economico","in fascia"))</f>
        <v>più caro</v>
      </c>
      <c r="J64" s="8" t="n">
        <f aca="false">IF(G64&lt;D64,(D64-G64)/G64,IF(G64&gt;E64,(E64-G64)/G64,0))</f>
        <v>0.0822510822510822</v>
      </c>
    </row>
    <row r="65" customFormat="false" ht="15" hidden="false" customHeight="false" outlineLevel="0" collapsed="false">
      <c r="A65" s="6" t="s">
        <v>188</v>
      </c>
      <c r="B65" s="6" t="s">
        <v>178</v>
      </c>
      <c r="C65" s="6" t="s">
        <v>189</v>
      </c>
      <c r="D65" s="7" t="n">
        <v>14.5</v>
      </c>
      <c r="E65" s="7" t="n">
        <v>14.5</v>
      </c>
      <c r="F65" s="6" t="n">
        <v>1</v>
      </c>
      <c r="G65" s="7" t="n">
        <v>11.55</v>
      </c>
      <c r="H65" s="6" t="s">
        <v>31</v>
      </c>
      <c r="I65" s="6" t="str">
        <f aca="false">IF(G65&lt;D65,"più caro",IF(G65&gt;E65,"più economico","in fascia"))</f>
        <v>più caro</v>
      </c>
      <c r="J65" s="8" t="n">
        <f aca="false">IF(G65&lt;D65,(D65-G65)/G65,IF(G65&gt;E65,(E65-G65)/G65,0))</f>
        <v>0.255411255411255</v>
      </c>
    </row>
    <row r="66" customFormat="false" ht="15" hidden="false" customHeight="false" outlineLevel="0" collapsed="false">
      <c r="A66" s="6" t="s">
        <v>190</v>
      </c>
      <c r="B66" s="6" t="s">
        <v>178</v>
      </c>
      <c r="C66" s="6" t="s">
        <v>191</v>
      </c>
      <c r="D66" s="7" t="n">
        <v>15.5</v>
      </c>
      <c r="E66" s="7" t="n">
        <v>15.5</v>
      </c>
      <c r="F66" s="6" t="n">
        <v>1</v>
      </c>
      <c r="G66" s="7" t="n">
        <v>11.55</v>
      </c>
      <c r="H66" s="6" t="s">
        <v>31</v>
      </c>
      <c r="I66" s="6" t="str">
        <f aca="false">IF(G66&lt;D66,"più caro",IF(G66&gt;E66,"più economico","in fascia"))</f>
        <v>più caro</v>
      </c>
      <c r="J66" s="8" t="n">
        <f aca="false">IF(G66&lt;D66,(D66-G66)/G66,IF(G66&gt;E66,(E66-G66)/G66,0))</f>
        <v>0.341991341991342</v>
      </c>
    </row>
    <row r="67" customFormat="false" ht="15" hidden="false" customHeight="false" outlineLevel="0" collapsed="false">
      <c r="A67" s="6" t="s">
        <v>192</v>
      </c>
      <c r="B67" s="6" t="s">
        <v>193</v>
      </c>
      <c r="C67" s="6" t="s">
        <v>194</v>
      </c>
      <c r="D67" s="7" t="n">
        <v>7.5</v>
      </c>
      <c r="E67" s="7" t="n">
        <v>7.5</v>
      </c>
      <c r="F67" s="6" t="n">
        <v>1</v>
      </c>
      <c r="G67" s="7" t="n">
        <v>3.99</v>
      </c>
      <c r="H67" s="6" t="s">
        <v>39</v>
      </c>
      <c r="I67" s="6" t="str">
        <f aca="false">IF(G67&lt;D67,"più caro",IF(G67&gt;E67,"più economico","in fascia"))</f>
        <v>più caro</v>
      </c>
      <c r="J67" s="8" t="n">
        <f aca="false">IF(G67&lt;D67,(D67-G67)/G67,IF(G67&gt;E67,(E67-G67)/G67,0))</f>
        <v>0.879699248120301</v>
      </c>
    </row>
    <row r="68" customFormat="false" ht="15" hidden="false" customHeight="false" outlineLevel="0" collapsed="false">
      <c r="A68" s="6" t="s">
        <v>195</v>
      </c>
      <c r="B68" s="6" t="s">
        <v>193</v>
      </c>
      <c r="C68" s="6" t="s">
        <v>196</v>
      </c>
      <c r="D68" s="7" t="n">
        <v>189</v>
      </c>
      <c r="E68" s="7" t="n">
        <v>189</v>
      </c>
      <c r="F68" s="6" t="n">
        <v>1</v>
      </c>
      <c r="G68" s="7" t="n">
        <v>89.95</v>
      </c>
      <c r="H68" s="6" t="s">
        <v>39</v>
      </c>
      <c r="I68" s="6" t="str">
        <f aca="false">IF(G68&lt;D68,"più caro",IF(G68&gt;E68,"più economico","in fascia"))</f>
        <v>più caro</v>
      </c>
      <c r="J68" s="8" t="n">
        <f aca="false">IF(G68&lt;D68,(D68-G68)/G68,IF(G68&gt;E68,(E68-G68)/G68,0))</f>
        <v>1.1011673151751</v>
      </c>
    </row>
    <row r="69" customFormat="false" ht="15" hidden="false" customHeight="false" outlineLevel="0" collapsed="false">
      <c r="A69" s="6" t="s">
        <v>198</v>
      </c>
      <c r="B69" s="6" t="s">
        <v>193</v>
      </c>
      <c r="C69" s="6" t="s">
        <v>199</v>
      </c>
      <c r="D69" s="7" t="n">
        <v>165</v>
      </c>
      <c r="E69" s="7" t="n">
        <v>165</v>
      </c>
      <c r="F69" s="6" t="n">
        <v>1</v>
      </c>
      <c r="G69" s="7" t="n">
        <v>119.95</v>
      </c>
      <c r="H69" s="6" t="s">
        <v>39</v>
      </c>
      <c r="I69" s="6" t="str">
        <f aca="false">IF(G69&lt;D69,"più caro",IF(G69&gt;E69,"più economico","in fascia"))</f>
        <v>più caro</v>
      </c>
      <c r="J69" s="8" t="n">
        <f aca="false">IF(G69&lt;D69,(D69-G69)/G69,IF(G69&gt;E69,(E69-G69)/G69,0))</f>
        <v>0.375573155481451</v>
      </c>
    </row>
    <row r="70" customFormat="false" ht="15" hidden="false" customHeight="false" outlineLevel="0" collapsed="false">
      <c r="A70" s="6" t="s">
        <v>200</v>
      </c>
      <c r="B70" s="6" t="s">
        <v>201</v>
      </c>
      <c r="C70" s="6" t="s">
        <v>202</v>
      </c>
      <c r="D70" s="7" t="n">
        <v>7.95</v>
      </c>
      <c r="E70" s="7" t="n">
        <v>7.95</v>
      </c>
      <c r="F70" s="6" t="n">
        <v>1</v>
      </c>
      <c r="G70" s="7" t="n">
        <v>7.99</v>
      </c>
      <c r="H70" s="6" t="s">
        <v>31</v>
      </c>
      <c r="I70" s="6" t="str">
        <f aca="false">IF(G70&lt;D70,"più caro",IF(G70&gt;E70,"più economico","in fascia"))</f>
        <v>più economico</v>
      </c>
      <c r="J70" s="8" t="n">
        <f aca="false">IF(G70&lt;D70,(D70-G70)/G70,IF(G70&gt;E70,(E70-G70)/G70,0))</f>
        <v>-0.00500625782227785</v>
      </c>
    </row>
    <row r="71" customFormat="false" ht="15" hidden="false" customHeight="false" outlineLevel="0" collapsed="false">
      <c r="A71" s="6" t="s">
        <v>203</v>
      </c>
      <c r="B71" s="6" t="s">
        <v>201</v>
      </c>
      <c r="C71" s="6" t="s">
        <v>204</v>
      </c>
      <c r="D71" s="7" t="n">
        <v>7.95</v>
      </c>
      <c r="E71" s="7" t="n">
        <v>7.95</v>
      </c>
      <c r="F71" s="6" t="n">
        <v>1</v>
      </c>
      <c r="G71" s="7" t="n">
        <v>7.99</v>
      </c>
      <c r="H71" s="6" t="s">
        <v>31</v>
      </c>
      <c r="I71" s="6" t="str">
        <f aca="false">IF(G71&lt;D71,"più caro",IF(G71&gt;E71,"più economico","in fascia"))</f>
        <v>più economico</v>
      </c>
      <c r="J71" s="8" t="n">
        <f aca="false">IF(G71&lt;D71,(D71-G71)/G71,IF(G71&gt;E71,(E71-G71)/G71,0))</f>
        <v>-0.00500625782227785</v>
      </c>
    </row>
    <row r="72" customFormat="false" ht="15" hidden="false" customHeight="false" outlineLevel="0" collapsed="false">
      <c r="A72" s="6" t="s">
        <v>205</v>
      </c>
      <c r="B72" s="6" t="s">
        <v>206</v>
      </c>
      <c r="C72" s="6" t="s">
        <v>207</v>
      </c>
      <c r="D72" s="7" t="n">
        <v>13.99</v>
      </c>
      <c r="E72" s="7" t="n">
        <v>13.99</v>
      </c>
      <c r="F72" s="6" t="n">
        <v>1</v>
      </c>
      <c r="G72" s="7" t="n">
        <v>9.99</v>
      </c>
      <c r="H72" s="6" t="s">
        <v>31</v>
      </c>
      <c r="I72" s="6" t="str">
        <f aca="false">IF(G72&lt;D72,"più caro",IF(G72&gt;E72,"più economico","in fascia"))</f>
        <v>più caro</v>
      </c>
      <c r="J72" s="8" t="n">
        <f aca="false">IF(G72&lt;D72,(D72-G72)/G72,IF(G72&gt;E72,(E72-G72)/G72,0))</f>
        <v>0.4004004004004</v>
      </c>
    </row>
    <row r="73" customFormat="false" ht="15" hidden="false" customHeight="false" outlineLevel="0" collapsed="false">
      <c r="A73" s="6" t="s">
        <v>208</v>
      </c>
      <c r="B73" s="6" t="s">
        <v>206</v>
      </c>
      <c r="C73" s="6" t="s">
        <v>209</v>
      </c>
      <c r="D73" s="7" t="n">
        <v>9.99</v>
      </c>
      <c r="E73" s="7" t="n">
        <v>13.99</v>
      </c>
      <c r="F73" s="6" t="n">
        <v>2</v>
      </c>
      <c r="G73" s="7" t="n">
        <v>4.58</v>
      </c>
      <c r="H73" s="6" t="s">
        <v>39</v>
      </c>
      <c r="I73" s="6" t="str">
        <f aca="false">IF(G73&lt;D73,"più caro",IF(G73&gt;E73,"più economico","in fascia"))</f>
        <v>più caro</v>
      </c>
      <c r="J73" s="8" t="n">
        <f aca="false">IF(G73&lt;D73,(D73-G73)/G73,IF(G73&gt;E73,(E73-G73)/G73,0))</f>
        <v>1.18122270742358</v>
      </c>
    </row>
    <row r="74" customFormat="false" ht="15" hidden="false" customHeight="false" outlineLevel="0" collapsed="false">
      <c r="A74" s="6" t="s">
        <v>210</v>
      </c>
      <c r="B74" s="6" t="s">
        <v>206</v>
      </c>
      <c r="C74" s="6" t="s">
        <v>211</v>
      </c>
      <c r="D74" s="7" t="n">
        <v>8.95</v>
      </c>
      <c r="E74" s="7" t="n">
        <v>8.95</v>
      </c>
      <c r="F74" s="6" t="n">
        <v>2</v>
      </c>
      <c r="G74" s="7" t="n">
        <v>9.45</v>
      </c>
      <c r="H74" s="6" t="s">
        <v>39</v>
      </c>
      <c r="I74" s="6" t="str">
        <f aca="false">IF(G74&lt;D74,"più caro",IF(G74&gt;E74,"più economico","in fascia"))</f>
        <v>più economico</v>
      </c>
      <c r="J74" s="8" t="n">
        <f aca="false">IF(G74&lt;D74,(D74-G74)/G74,IF(G74&gt;E74,(E74-G74)/G74,0))</f>
        <v>-0.0529100529100529</v>
      </c>
    </row>
    <row r="75" customFormat="false" ht="15" hidden="false" customHeight="false" outlineLevel="0" collapsed="false">
      <c r="A75" s="6" t="s">
        <v>212</v>
      </c>
      <c r="B75" s="6" t="s">
        <v>213</v>
      </c>
      <c r="C75" s="6" t="s">
        <v>214</v>
      </c>
      <c r="D75" s="7" t="n">
        <v>23.99</v>
      </c>
      <c r="E75" s="7" t="n">
        <v>23.99</v>
      </c>
      <c r="F75" s="6" t="n">
        <v>1</v>
      </c>
      <c r="G75" s="7" t="n">
        <v>25.99</v>
      </c>
      <c r="H75" s="6" t="s">
        <v>31</v>
      </c>
      <c r="I75" s="6" t="str">
        <f aca="false">IF(G75&lt;D75,"più caro",IF(G75&gt;E75,"più economico","in fascia"))</f>
        <v>più economico</v>
      </c>
      <c r="J75" s="8" t="n">
        <f aca="false">IF(G75&lt;D75,(D75-G75)/G75,IF(G75&gt;E75,(E75-G75)/G75,0))</f>
        <v>-0.0769526741054252</v>
      </c>
    </row>
    <row r="76" customFormat="false" ht="15" hidden="false" customHeight="false" outlineLevel="0" collapsed="false">
      <c r="A76" s="6" t="s">
        <v>215</v>
      </c>
      <c r="B76" s="6" t="s">
        <v>213</v>
      </c>
      <c r="C76" s="6" t="s">
        <v>216</v>
      </c>
      <c r="D76" s="7" t="n">
        <v>10.5</v>
      </c>
      <c r="E76" s="7" t="n">
        <v>10.5</v>
      </c>
      <c r="F76" s="6" t="n">
        <v>1</v>
      </c>
      <c r="G76" s="7" t="n">
        <v>10.29</v>
      </c>
      <c r="H76" s="6" t="s">
        <v>31</v>
      </c>
      <c r="I76" s="6" t="str">
        <f aca="false">IF(G76&lt;D76,"più caro",IF(G76&gt;E76,"più economico","in fascia"))</f>
        <v>più caro</v>
      </c>
      <c r="J76" s="8" t="n">
        <f aca="false">IF(G76&lt;D76,(D76-G76)/G76,IF(G76&gt;E76,(E76-G76)/G76,0))</f>
        <v>0.0204081632653062</v>
      </c>
    </row>
    <row r="77" customFormat="false" ht="15" hidden="false" customHeight="false" outlineLevel="0" collapsed="false">
      <c r="A77" s="6" t="s">
        <v>217</v>
      </c>
      <c r="B77" s="6" t="s">
        <v>213</v>
      </c>
      <c r="C77" s="6" t="s">
        <v>218</v>
      </c>
      <c r="D77" s="7" t="n">
        <v>10.5</v>
      </c>
      <c r="E77" s="7" t="n">
        <v>10.5</v>
      </c>
      <c r="F77" s="6" t="n">
        <v>1</v>
      </c>
      <c r="G77" s="7" t="n">
        <v>10.29</v>
      </c>
      <c r="H77" s="6" t="s">
        <v>31</v>
      </c>
      <c r="I77" s="6" t="str">
        <f aca="false">IF(G77&lt;D77,"più caro",IF(G77&gt;E77,"più economico","in fascia"))</f>
        <v>più caro</v>
      </c>
      <c r="J77" s="8" t="n">
        <f aca="false">IF(G77&lt;D77,(D77-G77)/G77,IF(G77&gt;E77,(E77-G77)/G77,0))</f>
        <v>0.0204081632653062</v>
      </c>
    </row>
    <row r="78" customFormat="false" ht="15" hidden="false" customHeight="false" outlineLevel="0" collapsed="false">
      <c r="A78" s="6" t="s">
        <v>219</v>
      </c>
      <c r="B78" s="6" t="s">
        <v>213</v>
      </c>
      <c r="C78" s="6" t="s">
        <v>220</v>
      </c>
      <c r="D78" s="7" t="n">
        <v>10.29</v>
      </c>
      <c r="E78" s="7" t="n">
        <v>10.29</v>
      </c>
      <c r="F78" s="6" t="n">
        <v>1</v>
      </c>
      <c r="G78" s="7" t="n">
        <v>10.29</v>
      </c>
      <c r="H78" s="6" t="s">
        <v>31</v>
      </c>
      <c r="I78" s="6" t="str">
        <f aca="false">IF(G78&lt;D78,"più caro",IF(G78&gt;E78,"più economico","in fascia"))</f>
        <v>in fascia</v>
      </c>
      <c r="J78" s="8" t="n">
        <f aca="false">IF(G78&lt;D78,(D78-G78)/G78,IF(G78&gt;E78,(E78-G78)/G78,0))</f>
        <v>0</v>
      </c>
    </row>
    <row r="79" customFormat="false" ht="15" hidden="false" customHeight="false" outlineLevel="0" collapsed="false">
      <c r="A79" s="6" t="s">
        <v>221</v>
      </c>
      <c r="B79" s="6" t="s">
        <v>213</v>
      </c>
      <c r="C79" s="6" t="s">
        <v>222</v>
      </c>
      <c r="D79" s="7" t="n">
        <v>10.29</v>
      </c>
      <c r="E79" s="7" t="n">
        <v>10.29</v>
      </c>
      <c r="F79" s="6" t="n">
        <v>1</v>
      </c>
      <c r="G79" s="7" t="n">
        <v>10.29</v>
      </c>
      <c r="H79" s="6" t="s">
        <v>31</v>
      </c>
      <c r="I79" s="6" t="str">
        <f aca="false">IF(G79&lt;D79,"più caro",IF(G79&gt;E79,"più economico","in fascia"))</f>
        <v>in fascia</v>
      </c>
      <c r="J79" s="8" t="n">
        <f aca="false">IF(G79&lt;D79,(D79-G79)/G79,IF(G79&gt;E79,(E79-G79)/G79,0))</f>
        <v>0</v>
      </c>
    </row>
    <row r="80" customFormat="false" ht="15" hidden="false" customHeight="false" outlineLevel="0" collapsed="false">
      <c r="A80" s="6" t="s">
        <v>223</v>
      </c>
      <c r="B80" s="6" t="s">
        <v>224</v>
      </c>
      <c r="C80" s="6" t="s">
        <v>225</v>
      </c>
      <c r="D80" s="7" t="n">
        <v>10.95</v>
      </c>
      <c r="E80" s="7" t="n">
        <v>10.95</v>
      </c>
      <c r="F80" s="6" t="n">
        <v>2</v>
      </c>
      <c r="G80" s="7" t="n">
        <v>10.56</v>
      </c>
      <c r="H80" s="6" t="s">
        <v>226</v>
      </c>
      <c r="I80" s="6" t="str">
        <f aca="false">IF(G80&lt;D80,"più caro",IF(G80&gt;E80,"più economico","in fascia"))</f>
        <v>più caro</v>
      </c>
      <c r="J80" s="8" t="n">
        <f aca="false">IF(G80&lt;D80,(D80-G80)/G80,IF(G80&gt;E80,(E80-G80)/G80,0))</f>
        <v>0.0369318181818181</v>
      </c>
    </row>
    <row r="81" customFormat="false" ht="15" hidden="false" customHeight="false" outlineLevel="0" collapsed="false">
      <c r="A81" s="6" t="s">
        <v>227</v>
      </c>
      <c r="B81" s="6" t="s">
        <v>224</v>
      </c>
      <c r="C81" s="6" t="s">
        <v>228</v>
      </c>
      <c r="D81" s="7" t="n">
        <v>13.5</v>
      </c>
      <c r="E81" s="7" t="n">
        <v>13.5</v>
      </c>
      <c r="F81" s="6" t="n">
        <v>2</v>
      </c>
      <c r="G81" s="7" t="n">
        <v>7.49</v>
      </c>
      <c r="H81" s="6" t="s">
        <v>31</v>
      </c>
      <c r="I81" s="6" t="str">
        <f aca="false">IF(G81&lt;D81,"più caro",IF(G81&gt;E81,"più economico","in fascia"))</f>
        <v>più caro</v>
      </c>
      <c r="J81" s="8" t="n">
        <f aca="false">IF(G81&lt;D81,(D81-G81)/G81,IF(G81&gt;E81,(E81-G81)/G81,0))</f>
        <v>0.802403204272363</v>
      </c>
    </row>
    <row r="82" customFormat="false" ht="15" hidden="false" customHeight="false" outlineLevel="0" collapsed="false">
      <c r="A82" s="6" t="s">
        <v>229</v>
      </c>
      <c r="B82" s="6" t="s">
        <v>224</v>
      </c>
      <c r="C82" s="6" t="s">
        <v>230</v>
      </c>
      <c r="D82" s="7" t="n">
        <v>13</v>
      </c>
      <c r="E82" s="7" t="n">
        <v>13</v>
      </c>
      <c r="F82" s="6" t="n">
        <v>1</v>
      </c>
      <c r="G82" s="7" t="n">
        <v>7.49</v>
      </c>
      <c r="H82" s="6" t="s">
        <v>31</v>
      </c>
      <c r="I82" s="6" t="str">
        <f aca="false">IF(G82&lt;D82,"più caro",IF(G82&gt;E82,"più economico","in fascia"))</f>
        <v>più caro</v>
      </c>
      <c r="J82" s="8" t="n">
        <f aca="false">IF(G82&lt;D82,(D82-G82)/G82,IF(G82&gt;E82,(E82-G82)/G82,0))</f>
        <v>0.735647530040053</v>
      </c>
    </row>
    <row r="83" customFormat="false" ht="15" hidden="false" customHeight="false" outlineLevel="0" collapsed="false">
      <c r="A83" s="6" t="s">
        <v>231</v>
      </c>
      <c r="B83" s="6" t="s">
        <v>232</v>
      </c>
      <c r="C83" s="6" t="s">
        <v>233</v>
      </c>
      <c r="D83" s="7" t="n">
        <v>6.95</v>
      </c>
      <c r="E83" s="7" t="n">
        <v>6.95</v>
      </c>
      <c r="F83" s="6" t="n">
        <v>1</v>
      </c>
      <c r="G83" s="7" t="n">
        <v>3.95</v>
      </c>
      <c r="H83" s="6" t="s">
        <v>39</v>
      </c>
      <c r="I83" s="6" t="str">
        <f aca="false">IF(G83&lt;D83,"più caro",IF(G83&gt;E83,"più economico","in fascia"))</f>
        <v>più caro</v>
      </c>
      <c r="J83" s="8" t="n">
        <f aca="false">IF(G83&lt;D83,(D83-G83)/G83,IF(G83&gt;E83,(E83-G83)/G83,0))</f>
        <v>0.759493670886076</v>
      </c>
    </row>
    <row r="84" customFormat="false" ht="15" hidden="false" customHeight="false" outlineLevel="0" collapsed="false">
      <c r="A84" s="6" t="s">
        <v>234</v>
      </c>
      <c r="B84" s="6" t="s">
        <v>232</v>
      </c>
      <c r="C84" s="6" t="s">
        <v>235</v>
      </c>
      <c r="D84" s="7" t="n">
        <v>11.95</v>
      </c>
      <c r="E84" s="7" t="n">
        <v>11.95</v>
      </c>
      <c r="F84" s="6" t="n">
        <v>1</v>
      </c>
      <c r="G84" s="7" t="n">
        <v>3.95</v>
      </c>
      <c r="H84" s="6" t="s">
        <v>39</v>
      </c>
      <c r="I84" s="6" t="str">
        <f aca="false">IF(G84&lt;D84,"più caro",IF(G84&gt;E84,"più economico","in fascia"))</f>
        <v>più caro</v>
      </c>
      <c r="J84" s="8" t="n">
        <f aca="false">IF(G84&lt;D84,(D84-G84)/G84,IF(G84&gt;E84,(E84-G84)/G84,0))</f>
        <v>2.0253164556962</v>
      </c>
    </row>
    <row r="85" customFormat="false" ht="15" hidden="false" customHeight="false" outlineLevel="0" collapsed="false">
      <c r="A85" s="6" t="s">
        <v>236</v>
      </c>
      <c r="B85" s="6" t="s">
        <v>232</v>
      </c>
      <c r="C85" s="6" t="s">
        <v>237</v>
      </c>
      <c r="D85" s="7" t="n">
        <v>21.95</v>
      </c>
      <c r="E85" s="7" t="n">
        <v>21.95</v>
      </c>
      <c r="F85" s="6" t="n">
        <v>1</v>
      </c>
      <c r="G85" s="7" t="n">
        <v>13.95</v>
      </c>
      <c r="H85" s="6" t="s">
        <v>39</v>
      </c>
      <c r="I85" s="6" t="str">
        <f aca="false">IF(G85&lt;D85,"più caro",IF(G85&gt;E85,"più economico","in fascia"))</f>
        <v>più caro</v>
      </c>
      <c r="J85" s="8" t="n">
        <f aca="false">IF(G85&lt;D85,(D85-G85)/G85,IF(G85&gt;E85,(E85-G85)/G85,0))</f>
        <v>0.573476702508961</v>
      </c>
    </row>
    <row r="86" customFormat="false" ht="15" hidden="false" customHeight="false" outlineLevel="0" collapsed="false">
      <c r="A86" s="6" t="s">
        <v>238</v>
      </c>
      <c r="B86" s="6" t="s">
        <v>232</v>
      </c>
      <c r="C86" s="6" t="s">
        <v>239</v>
      </c>
      <c r="D86" s="7" t="n">
        <v>6.95</v>
      </c>
      <c r="E86" s="7" t="n">
        <v>6.95</v>
      </c>
      <c r="F86" s="6" t="n">
        <v>1</v>
      </c>
      <c r="G86" s="7" t="n">
        <v>3.95</v>
      </c>
      <c r="H86" s="6" t="s">
        <v>39</v>
      </c>
      <c r="I86" s="6" t="str">
        <f aca="false">IF(G86&lt;D86,"più caro",IF(G86&gt;E86,"più economico","in fascia"))</f>
        <v>più caro</v>
      </c>
      <c r="J86" s="8" t="n">
        <f aca="false">IF(G86&lt;D86,(D86-G86)/G86,IF(G86&gt;E86,(E86-G86)/G86,0))</f>
        <v>0.759493670886076</v>
      </c>
    </row>
    <row r="87" customFormat="false" ht="15" hidden="false" customHeight="false" outlineLevel="0" collapsed="false">
      <c r="A87" s="6" t="s">
        <v>240</v>
      </c>
      <c r="B87" s="6" t="s">
        <v>232</v>
      </c>
      <c r="C87" s="6" t="s">
        <v>241</v>
      </c>
      <c r="D87" s="7" t="n">
        <v>7.95</v>
      </c>
      <c r="E87" s="7" t="n">
        <v>7.95</v>
      </c>
      <c r="F87" s="6" t="n">
        <v>1</v>
      </c>
      <c r="G87" s="7" t="n">
        <v>3.95</v>
      </c>
      <c r="H87" s="6" t="s">
        <v>39</v>
      </c>
      <c r="I87" s="6" t="str">
        <f aca="false">IF(G87&lt;D87,"più caro",IF(G87&gt;E87,"più economico","in fascia"))</f>
        <v>più caro</v>
      </c>
      <c r="J87" s="8" t="n">
        <f aca="false">IF(G87&lt;D87,(D87-G87)/G87,IF(G87&gt;E87,(E87-G87)/G87,0))</f>
        <v>1.0126582278481</v>
      </c>
    </row>
    <row r="88" customFormat="false" ht="15" hidden="false" customHeight="false" outlineLevel="0" collapsed="false">
      <c r="A88" s="6" t="s">
        <v>242</v>
      </c>
      <c r="B88" s="6" t="s">
        <v>232</v>
      </c>
      <c r="C88" s="6" t="s">
        <v>243</v>
      </c>
      <c r="D88" s="7" t="n">
        <v>14.95</v>
      </c>
      <c r="E88" s="7" t="n">
        <v>14.95</v>
      </c>
      <c r="F88" s="6" t="n">
        <v>1</v>
      </c>
      <c r="G88" s="7" t="n">
        <v>3.95</v>
      </c>
      <c r="H88" s="6" t="s">
        <v>39</v>
      </c>
      <c r="I88" s="6" t="str">
        <f aca="false">IF(G88&lt;D88,"più caro",IF(G88&gt;E88,"più economico","in fascia"))</f>
        <v>più caro</v>
      </c>
      <c r="J88" s="8" t="n">
        <f aca="false">IF(G88&lt;D88,(D88-G88)/G88,IF(G88&gt;E88,(E88-G88)/G88,0))</f>
        <v>2.78481012658228</v>
      </c>
    </row>
    <row r="89" customFormat="false" ht="15" hidden="false" customHeight="false" outlineLevel="0" collapsed="false">
      <c r="A89" s="6" t="s">
        <v>244</v>
      </c>
      <c r="B89" s="6" t="s">
        <v>232</v>
      </c>
      <c r="C89" s="6" t="s">
        <v>245</v>
      </c>
      <c r="D89" s="7" t="n">
        <v>6.95</v>
      </c>
      <c r="E89" s="7" t="n">
        <v>6.95</v>
      </c>
      <c r="F89" s="6" t="n">
        <v>1</v>
      </c>
      <c r="G89" s="7" t="n">
        <v>3.95</v>
      </c>
      <c r="H89" s="6" t="s">
        <v>39</v>
      </c>
      <c r="I89" s="6" t="str">
        <f aca="false">IF(G89&lt;D89,"più caro",IF(G89&gt;E89,"più economico","in fascia"))</f>
        <v>più caro</v>
      </c>
      <c r="J89" s="8" t="n">
        <f aca="false">IF(G89&lt;D89,(D89-G89)/G89,IF(G89&gt;E89,(E89-G89)/G89,0))</f>
        <v>0.759493670886076</v>
      </c>
    </row>
    <row r="90" customFormat="false" ht="15" hidden="false" customHeight="false" outlineLevel="0" collapsed="false">
      <c r="A90" s="6" t="s">
        <v>246</v>
      </c>
      <c r="B90" s="6" t="s">
        <v>232</v>
      </c>
      <c r="C90" s="6" t="s">
        <v>247</v>
      </c>
      <c r="D90" s="7" t="n">
        <v>11.95</v>
      </c>
      <c r="E90" s="7" t="n">
        <v>11.95</v>
      </c>
      <c r="F90" s="6" t="n">
        <v>1</v>
      </c>
      <c r="G90" s="7" t="n">
        <v>9.95</v>
      </c>
      <c r="H90" s="6" t="s">
        <v>39</v>
      </c>
      <c r="I90" s="6" t="str">
        <f aca="false">IF(G90&lt;D90,"più caro",IF(G90&gt;E90,"più economico","in fascia"))</f>
        <v>più caro</v>
      </c>
      <c r="J90" s="8" t="n">
        <f aca="false">IF(G90&lt;D90,(D90-G90)/G90,IF(G90&gt;E90,(E90-G90)/G90,0))</f>
        <v>0.201005025125628</v>
      </c>
    </row>
    <row r="91" customFormat="false" ht="15" hidden="false" customHeight="false" outlineLevel="0" collapsed="false">
      <c r="A91" s="6" t="s">
        <v>248</v>
      </c>
      <c r="B91" s="6" t="s">
        <v>232</v>
      </c>
      <c r="C91" s="6" t="s">
        <v>249</v>
      </c>
      <c r="D91" s="7" t="n">
        <v>11.95</v>
      </c>
      <c r="E91" s="7" t="n">
        <v>11.95</v>
      </c>
      <c r="F91" s="6" t="n">
        <v>1</v>
      </c>
      <c r="G91" s="7" t="n">
        <v>9.95</v>
      </c>
      <c r="H91" s="6" t="s">
        <v>39</v>
      </c>
      <c r="I91" s="6" t="str">
        <f aca="false">IF(G91&lt;D91,"più caro",IF(G91&gt;E91,"più economico","in fascia"))</f>
        <v>più caro</v>
      </c>
      <c r="J91" s="8" t="n">
        <f aca="false">IF(G91&lt;D91,(D91-G91)/G91,IF(G91&gt;E91,(E91-G91)/G91,0))</f>
        <v>0.201005025125628</v>
      </c>
    </row>
    <row r="92" customFormat="false" ht="15" hidden="false" customHeight="false" outlineLevel="0" collapsed="false">
      <c r="A92" s="6" t="s">
        <v>250</v>
      </c>
      <c r="B92" s="6" t="s">
        <v>232</v>
      </c>
      <c r="C92" s="6" t="s">
        <v>251</v>
      </c>
      <c r="D92" s="7" t="n">
        <v>11.95</v>
      </c>
      <c r="E92" s="7" t="n">
        <v>11.95</v>
      </c>
      <c r="F92" s="6" t="n">
        <v>1</v>
      </c>
      <c r="G92" s="7" t="n">
        <v>9.95</v>
      </c>
      <c r="H92" s="6" t="s">
        <v>39</v>
      </c>
      <c r="I92" s="6" t="str">
        <f aca="false">IF(G92&lt;D92,"più caro",IF(G92&gt;E92,"più economico","in fascia"))</f>
        <v>più caro</v>
      </c>
      <c r="J92" s="8" t="n">
        <f aca="false">IF(G92&lt;D92,(D92-G92)/G92,IF(G92&gt;E92,(E92-G92)/G92,0))</f>
        <v>0.201005025125628</v>
      </c>
    </row>
    <row r="93" customFormat="false" ht="15" hidden="false" customHeight="false" outlineLevel="0" collapsed="false">
      <c r="A93" s="6" t="s">
        <v>252</v>
      </c>
      <c r="B93" s="6" t="s">
        <v>253</v>
      </c>
      <c r="C93" s="6" t="s">
        <v>254</v>
      </c>
      <c r="D93" s="7" t="n">
        <v>60</v>
      </c>
      <c r="E93" s="7" t="n">
        <v>69</v>
      </c>
      <c r="F93" s="6" t="n">
        <v>1</v>
      </c>
      <c r="G93" s="7" t="n">
        <v>62.95</v>
      </c>
      <c r="H93" s="6" t="s">
        <v>39</v>
      </c>
      <c r="I93" s="6" t="str">
        <f aca="false">IF(G93&lt;D93,"più caro",IF(G93&gt;E93,"più economico","in fascia"))</f>
        <v>in fascia</v>
      </c>
      <c r="J93" s="8" t="n">
        <f aca="false">IF(G93&lt;D93,(D93-G93)/G93,IF(G93&gt;E93,(E93-G93)/G93,0))</f>
        <v>0</v>
      </c>
    </row>
    <row r="94" customFormat="false" ht="15" hidden="false" customHeight="false" outlineLevel="0" collapsed="false">
      <c r="A94" s="6" t="s">
        <v>255</v>
      </c>
      <c r="B94" s="6" t="s">
        <v>253</v>
      </c>
      <c r="C94" s="6" t="s">
        <v>256</v>
      </c>
      <c r="D94" s="7" t="n">
        <v>12</v>
      </c>
      <c r="E94" s="7" t="n">
        <v>12</v>
      </c>
      <c r="F94" s="6" t="n">
        <v>1</v>
      </c>
      <c r="G94" s="7" t="n">
        <v>11.59</v>
      </c>
      <c r="H94" s="6" t="s">
        <v>31</v>
      </c>
      <c r="I94" s="6" t="str">
        <f aca="false">IF(G94&lt;D94,"più caro",IF(G94&gt;E94,"più economico","in fascia"))</f>
        <v>più caro</v>
      </c>
      <c r="J94" s="8" t="n">
        <f aca="false">IF(G94&lt;D94,(D94-G94)/G94,IF(G94&gt;E94,(E94-G94)/G94,0))</f>
        <v>0.0353753235547886</v>
      </c>
    </row>
    <row r="95" customFormat="false" ht="15" hidden="false" customHeight="false" outlineLevel="0" collapsed="false">
      <c r="A95" s="6" t="s">
        <v>257</v>
      </c>
      <c r="B95" s="6" t="s">
        <v>258</v>
      </c>
      <c r="C95" s="6" t="s">
        <v>259</v>
      </c>
      <c r="D95" s="7" t="n">
        <v>2.7</v>
      </c>
      <c r="E95" s="7" t="n">
        <v>4.9</v>
      </c>
      <c r="F95" s="6" t="n">
        <v>1</v>
      </c>
      <c r="G95" s="7" t="n">
        <v>2.79</v>
      </c>
      <c r="H95" s="6" t="s">
        <v>31</v>
      </c>
      <c r="I95" s="6" t="str">
        <f aca="false">IF(G95&lt;D95,"più caro",IF(G95&gt;E95,"più economico","in fascia"))</f>
        <v>in fascia</v>
      </c>
      <c r="J95" s="8" t="n">
        <f aca="false">IF(G95&lt;D95,(D95-G95)/G95,IF(G95&gt;E95,(E95-G95)/G95,0))</f>
        <v>0</v>
      </c>
    </row>
    <row r="96" customFormat="false" ht="15" hidden="false" customHeight="false" outlineLevel="0" collapsed="false">
      <c r="A96" s="6" t="s">
        <v>260</v>
      </c>
      <c r="B96" s="6" t="s">
        <v>258</v>
      </c>
      <c r="C96" s="6" t="s">
        <v>261</v>
      </c>
      <c r="D96" s="7" t="n">
        <v>3.4</v>
      </c>
      <c r="E96" s="7" t="n">
        <v>5.4</v>
      </c>
      <c r="F96" s="6" t="n">
        <v>1</v>
      </c>
      <c r="G96" s="7" t="n">
        <v>3.99</v>
      </c>
      <c r="H96" s="6" t="s">
        <v>31</v>
      </c>
      <c r="I96" s="6" t="str">
        <f aca="false">IF(G96&lt;D96,"più caro",IF(G96&gt;E96,"più economico","in fascia"))</f>
        <v>in fascia</v>
      </c>
      <c r="J96" s="8" t="n">
        <f aca="false">IF(G96&lt;D96,(D96-G96)/G96,IF(G96&gt;E96,(E96-G96)/G96,0))</f>
        <v>0</v>
      </c>
    </row>
    <row r="97" customFormat="false" ht="15" hidden="false" customHeight="false" outlineLevel="0" collapsed="false">
      <c r="A97" s="6" t="s">
        <v>262</v>
      </c>
      <c r="B97" s="6" t="s">
        <v>258</v>
      </c>
      <c r="C97" s="6" t="s">
        <v>263</v>
      </c>
      <c r="D97" s="7" t="n">
        <v>3.5</v>
      </c>
      <c r="E97" s="7" t="n">
        <v>3.9</v>
      </c>
      <c r="F97" s="6" t="n">
        <v>1</v>
      </c>
      <c r="G97" s="7" t="n">
        <v>2.79</v>
      </c>
      <c r="H97" s="6" t="s">
        <v>31</v>
      </c>
      <c r="I97" s="6" t="str">
        <f aca="false">IF(G97&lt;D97,"più caro",IF(G97&gt;E97,"più economico","in fascia"))</f>
        <v>più caro</v>
      </c>
      <c r="J97" s="8" t="n">
        <f aca="false">IF(G97&lt;D97,(D97-G97)/G97,IF(G97&gt;E97,(E97-G97)/G97,0))</f>
        <v>0.254480286738351</v>
      </c>
    </row>
    <row r="98" customFormat="false" ht="15" hidden="false" customHeight="false" outlineLevel="0" collapsed="false">
      <c r="A98" s="6" t="s">
        <v>264</v>
      </c>
      <c r="B98" s="6" t="s">
        <v>258</v>
      </c>
      <c r="C98" s="6" t="s">
        <v>265</v>
      </c>
      <c r="D98" s="7" t="n">
        <v>2.1</v>
      </c>
      <c r="E98" s="7" t="n">
        <v>2.5</v>
      </c>
      <c r="F98" s="6" t="n">
        <v>1</v>
      </c>
      <c r="G98" s="7" t="n">
        <v>2.19</v>
      </c>
      <c r="H98" s="6" t="s">
        <v>31</v>
      </c>
      <c r="I98" s="6" t="str">
        <f aca="false">IF(G98&lt;D98,"più caro",IF(G98&gt;E98,"più economico","in fascia"))</f>
        <v>in fascia</v>
      </c>
      <c r="J98" s="8" t="n">
        <f aca="false">IF(G98&lt;D98,(D98-G98)/G98,IF(G98&gt;E98,(E98-G98)/G98,0))</f>
        <v>0</v>
      </c>
    </row>
    <row r="99" customFormat="false" ht="15" hidden="false" customHeight="false" outlineLevel="0" collapsed="false">
      <c r="A99" s="6" t="s">
        <v>266</v>
      </c>
      <c r="B99" s="6" t="s">
        <v>258</v>
      </c>
      <c r="C99" s="6" t="s">
        <v>267</v>
      </c>
      <c r="D99" s="7" t="n">
        <v>2.1</v>
      </c>
      <c r="E99" s="7" t="n">
        <v>2.5</v>
      </c>
      <c r="F99" s="6" t="n">
        <v>1</v>
      </c>
      <c r="G99" s="7" t="n">
        <v>2.29</v>
      </c>
      <c r="H99" s="6" t="s">
        <v>31</v>
      </c>
      <c r="I99" s="6" t="str">
        <f aca="false">IF(G99&lt;D99,"più caro",IF(G99&gt;E99,"più economico","in fascia"))</f>
        <v>in fascia</v>
      </c>
      <c r="J99" s="8" t="n">
        <f aca="false">IF(G99&lt;D99,(D99-G99)/G99,IF(G99&gt;E99,(E99-G99)/G99,0))</f>
        <v>0</v>
      </c>
    </row>
    <row r="100" customFormat="false" ht="15" hidden="false" customHeight="false" outlineLevel="0" collapsed="false">
      <c r="A100" s="6" t="s">
        <v>269</v>
      </c>
      <c r="B100" s="6" t="s">
        <v>258</v>
      </c>
      <c r="C100" s="6" t="s">
        <v>270</v>
      </c>
      <c r="D100" s="7" t="n">
        <v>2.3</v>
      </c>
      <c r="E100" s="7" t="n">
        <v>3.3</v>
      </c>
      <c r="F100" s="6" t="n">
        <v>1</v>
      </c>
      <c r="G100" s="7" t="n">
        <v>2.49</v>
      </c>
      <c r="H100" s="6" t="s">
        <v>31</v>
      </c>
      <c r="I100" s="6" t="str">
        <f aca="false">IF(G100&lt;D100,"più caro",IF(G100&gt;E100,"più economico","in fascia"))</f>
        <v>in fascia</v>
      </c>
      <c r="J100" s="8" t="n">
        <f aca="false">IF(G100&lt;D100,(D100-G100)/G100,IF(G100&gt;E100,(E100-G100)/G100,0))</f>
        <v>0</v>
      </c>
    </row>
    <row r="101" customFormat="false" ht="15" hidden="false" customHeight="false" outlineLevel="0" collapsed="false">
      <c r="A101" s="6" t="s">
        <v>271</v>
      </c>
      <c r="B101" s="6" t="s">
        <v>258</v>
      </c>
      <c r="C101" s="6" t="s">
        <v>272</v>
      </c>
      <c r="D101" s="7" t="n">
        <v>6.5</v>
      </c>
      <c r="E101" s="7" t="n">
        <v>8.9</v>
      </c>
      <c r="F101" s="6" t="n">
        <v>1</v>
      </c>
      <c r="G101" s="7" t="n">
        <v>2.79</v>
      </c>
      <c r="H101" s="6" t="s">
        <v>31</v>
      </c>
      <c r="I101" s="6" t="str">
        <f aca="false">IF(G101&lt;D101,"più caro",IF(G101&gt;E101,"più economico","in fascia"))</f>
        <v>più caro</v>
      </c>
      <c r="J101" s="8" t="n">
        <f aca="false">IF(G101&lt;D101,(D101-G101)/G101,IF(G101&gt;E101,(E101-G101)/G101,0))</f>
        <v>1.32974910394265</v>
      </c>
    </row>
    <row r="102" customFormat="false" ht="15" hidden="false" customHeight="false" outlineLevel="0" collapsed="false">
      <c r="A102" s="6" t="s">
        <v>273</v>
      </c>
      <c r="B102" s="6" t="s">
        <v>258</v>
      </c>
      <c r="C102" s="6" t="s">
        <v>274</v>
      </c>
      <c r="D102" s="7" t="n">
        <v>6.3</v>
      </c>
      <c r="E102" s="7" t="n">
        <v>6.8</v>
      </c>
      <c r="F102" s="6" t="n">
        <v>1</v>
      </c>
      <c r="G102" s="7" t="n">
        <v>5.9</v>
      </c>
      <c r="H102" s="6" t="s">
        <v>31</v>
      </c>
      <c r="I102" s="6" t="str">
        <f aca="false">IF(G102&lt;D102,"più caro",IF(G102&gt;E102,"più economico","in fascia"))</f>
        <v>più caro</v>
      </c>
      <c r="J102" s="8" t="n">
        <f aca="false">IF(G102&lt;D102,(D102-G102)/G102,IF(G102&gt;E102,(E102-G102)/G102,0))</f>
        <v>0.0677966101694914</v>
      </c>
    </row>
    <row r="103" customFormat="false" ht="15" hidden="false" customHeight="false" outlineLevel="0" collapsed="false">
      <c r="A103" s="6" t="s">
        <v>275</v>
      </c>
      <c r="B103" s="6" t="s">
        <v>258</v>
      </c>
      <c r="C103" s="6" t="s">
        <v>276</v>
      </c>
      <c r="D103" s="7" t="n">
        <v>4.5</v>
      </c>
      <c r="E103" s="7" t="n">
        <v>4.5</v>
      </c>
      <c r="F103" s="6" t="n">
        <v>1</v>
      </c>
      <c r="G103" s="7" t="n">
        <v>4.19</v>
      </c>
      <c r="H103" s="6" t="s">
        <v>31</v>
      </c>
      <c r="I103" s="6" t="str">
        <f aca="false">IF(G103&lt;D103,"più caro",IF(G103&gt;E103,"più economico","in fascia"))</f>
        <v>più caro</v>
      </c>
      <c r="J103" s="8" t="n">
        <f aca="false">IF(G103&lt;D103,(D103-G103)/G103,IF(G103&gt;E103,(E103-G103)/G103,0))</f>
        <v>0.0739856801909307</v>
      </c>
    </row>
    <row r="104" customFormat="false" ht="15" hidden="false" customHeight="false" outlineLevel="0" collapsed="false">
      <c r="A104" s="6" t="s">
        <v>278</v>
      </c>
      <c r="B104" s="6" t="s">
        <v>279</v>
      </c>
      <c r="C104" s="6" t="s">
        <v>280</v>
      </c>
      <c r="D104" s="7" t="n">
        <v>18.7</v>
      </c>
      <c r="E104" s="7" t="n">
        <v>18.7</v>
      </c>
      <c r="F104" s="6" t="n">
        <v>1</v>
      </c>
      <c r="G104" s="7" t="n">
        <v>19.99</v>
      </c>
      <c r="H104" s="6" t="s">
        <v>31</v>
      </c>
      <c r="I104" s="6" t="str">
        <f aca="false">IF(G104&lt;D104,"più caro",IF(G104&gt;E104,"più economico","in fascia"))</f>
        <v>più economico</v>
      </c>
      <c r="J104" s="8" t="n">
        <f aca="false">IF(G104&lt;D104,(D104-G104)/G104,IF(G104&gt;E104,(E104-G104)/G104,0))</f>
        <v>-0.0645322661330665</v>
      </c>
    </row>
    <row r="105" customFormat="false" ht="15" hidden="false" customHeight="false" outlineLevel="0" collapsed="false">
      <c r="A105" s="6" t="s">
        <v>281</v>
      </c>
      <c r="B105" s="6" t="s">
        <v>279</v>
      </c>
      <c r="C105" s="6" t="s">
        <v>282</v>
      </c>
      <c r="D105" s="7" t="n">
        <v>21</v>
      </c>
      <c r="E105" s="7" t="n">
        <v>21</v>
      </c>
      <c r="F105" s="6" t="n">
        <v>1</v>
      </c>
      <c r="G105" s="7" t="n">
        <v>19.9</v>
      </c>
      <c r="H105" s="6" t="s">
        <v>31</v>
      </c>
      <c r="I105" s="6" t="str">
        <f aca="false">IF(G105&lt;D105,"più caro",IF(G105&gt;E105,"più economico","in fascia"))</f>
        <v>più caro</v>
      </c>
      <c r="J105" s="8" t="n">
        <f aca="false">IF(G105&lt;D105,(D105-G105)/G105,IF(G105&gt;E105,(E105-G105)/G105,0))</f>
        <v>0.0552763819095478</v>
      </c>
    </row>
    <row r="106" customFormat="false" ht="15" hidden="false" customHeight="false" outlineLevel="0" collapsed="false">
      <c r="A106" s="6" t="s">
        <v>283</v>
      </c>
      <c r="B106" s="6" t="s">
        <v>279</v>
      </c>
      <c r="C106" s="6" t="s">
        <v>284</v>
      </c>
      <c r="D106" s="7" t="n">
        <v>11.9</v>
      </c>
      <c r="E106" s="7" t="n">
        <v>11.9</v>
      </c>
      <c r="F106" s="6" t="n">
        <v>1</v>
      </c>
      <c r="G106" s="7" t="n">
        <v>15.49</v>
      </c>
      <c r="H106" s="6" t="s">
        <v>31</v>
      </c>
      <c r="I106" s="6" t="str">
        <f aca="false">IF(G106&lt;D106,"più caro",IF(G106&gt;E106,"più economico","in fascia"))</f>
        <v>più economico</v>
      </c>
      <c r="J106" s="8" t="n">
        <f aca="false">IF(G106&lt;D106,(D106-G106)/G106,IF(G106&gt;E106,(E106-G106)/G106,0))</f>
        <v>-0.231762427372498</v>
      </c>
    </row>
    <row r="107" customFormat="false" ht="15" hidden="false" customHeight="false" outlineLevel="0" collapsed="false">
      <c r="A107" s="6" t="s">
        <v>285</v>
      </c>
      <c r="B107" s="6" t="s">
        <v>286</v>
      </c>
      <c r="C107" s="6" t="s">
        <v>287</v>
      </c>
      <c r="D107" s="7" t="n">
        <v>23.9</v>
      </c>
      <c r="E107" s="7" t="n">
        <v>23.9</v>
      </c>
      <c r="F107" s="6" t="n">
        <v>1</v>
      </c>
      <c r="G107" s="7" t="n">
        <v>17.99</v>
      </c>
      <c r="H107" s="6" t="s">
        <v>31</v>
      </c>
      <c r="I107" s="6" t="str">
        <f aca="false">IF(G107&lt;D107,"più caro",IF(G107&gt;E107,"più economico","in fascia"))</f>
        <v>più caro</v>
      </c>
      <c r="J107" s="8" t="n">
        <f aca="false">IF(G107&lt;D107,(D107-G107)/G107,IF(G107&gt;E107,(E107-G107)/G107,0))</f>
        <v>0.328515842134519</v>
      </c>
    </row>
    <row r="108" customFormat="false" ht="15" hidden="false" customHeight="false" outlineLevel="0" collapsed="false">
      <c r="A108" s="6" t="s">
        <v>289</v>
      </c>
      <c r="B108" s="6" t="s">
        <v>290</v>
      </c>
      <c r="C108" s="6" t="s">
        <v>291</v>
      </c>
      <c r="D108" s="7" t="n">
        <v>6.6</v>
      </c>
      <c r="E108" s="7" t="n">
        <v>6.6</v>
      </c>
      <c r="F108" s="6" t="n">
        <v>1</v>
      </c>
      <c r="G108" s="7" t="n">
        <v>5.99</v>
      </c>
      <c r="H108" s="6" t="s">
        <v>31</v>
      </c>
      <c r="I108" s="6" t="str">
        <f aca="false">IF(G108&lt;D108,"più caro",IF(G108&gt;E108,"più economico","in fascia"))</f>
        <v>più caro</v>
      </c>
      <c r="J108" s="8" t="n">
        <f aca="false">IF(G108&lt;D108,(D108-G108)/G108,IF(G108&gt;E108,(E108-G108)/G108,0))</f>
        <v>0.101836393989983</v>
      </c>
    </row>
    <row r="109" customFormat="false" ht="15" hidden="false" customHeight="false" outlineLevel="0" collapsed="false">
      <c r="A109" s="6" t="s">
        <v>292</v>
      </c>
      <c r="B109" s="6" t="s">
        <v>290</v>
      </c>
      <c r="C109" s="6" t="s">
        <v>293</v>
      </c>
      <c r="D109" s="7" t="n">
        <v>6.6</v>
      </c>
      <c r="E109" s="7" t="n">
        <v>6.6</v>
      </c>
      <c r="F109" s="6" t="n">
        <v>1</v>
      </c>
      <c r="G109" s="7" t="n">
        <v>6.59</v>
      </c>
      <c r="H109" s="6" t="s">
        <v>31</v>
      </c>
      <c r="I109" s="6" t="str">
        <f aca="false">IF(G109&lt;D109,"più caro",IF(G109&gt;E109,"più economico","in fascia"))</f>
        <v>più caro</v>
      </c>
      <c r="J109" s="8" t="n">
        <f aca="false">IF(G109&lt;D109,(D109-G109)/G109,IF(G109&gt;E109,(E109-G109)/G109,0))</f>
        <v>0.00151745068285278</v>
      </c>
    </row>
    <row r="110" customFormat="false" ht="15" hidden="false" customHeight="false" outlineLevel="0" collapsed="false">
      <c r="A110" s="6" t="s">
        <v>295</v>
      </c>
      <c r="B110" s="6" t="s">
        <v>296</v>
      </c>
      <c r="C110" s="6" t="s">
        <v>297</v>
      </c>
      <c r="D110" s="7" t="n">
        <v>7.95</v>
      </c>
      <c r="E110" s="7" t="n">
        <v>7.95</v>
      </c>
      <c r="F110" s="6" t="n">
        <v>3</v>
      </c>
      <c r="G110" s="7" t="n">
        <v>6.49</v>
      </c>
      <c r="H110" s="6" t="s">
        <v>39</v>
      </c>
      <c r="I110" s="6" t="str">
        <f aca="false">IF(G110&lt;D110,"più caro",IF(G110&gt;E110,"più economico","in fascia"))</f>
        <v>più caro</v>
      </c>
      <c r="J110" s="8" t="n">
        <f aca="false">IF(G110&lt;D110,(D110-G110)/G110,IF(G110&gt;E110,(E110-G110)/G110,0))</f>
        <v>0.224961479198767</v>
      </c>
    </row>
    <row r="111" customFormat="false" ht="15" hidden="false" customHeight="false" outlineLevel="0" collapsed="false">
      <c r="A111" s="6" t="s">
        <v>298</v>
      </c>
      <c r="B111" s="6" t="s">
        <v>296</v>
      </c>
      <c r="C111" s="6" t="s">
        <v>299</v>
      </c>
      <c r="D111" s="7" t="n">
        <v>7.95</v>
      </c>
      <c r="E111" s="7" t="n">
        <v>7.95</v>
      </c>
      <c r="F111" s="6" t="n">
        <v>3</v>
      </c>
      <c r="G111" s="7" t="n">
        <v>6.49</v>
      </c>
      <c r="H111" s="6" t="s">
        <v>39</v>
      </c>
      <c r="I111" s="6" t="str">
        <f aca="false">IF(G111&lt;D111,"più caro",IF(G111&gt;E111,"più economico","in fascia"))</f>
        <v>più caro</v>
      </c>
      <c r="J111" s="8" t="n">
        <f aca="false">IF(G111&lt;D111,(D111-G111)/G111,IF(G111&gt;E111,(E111-G111)/G111,0))</f>
        <v>0.224961479198767</v>
      </c>
    </row>
    <row r="112" customFormat="false" ht="15" hidden="false" customHeight="false" outlineLevel="0" collapsed="false">
      <c r="A112" s="6" t="s">
        <v>300</v>
      </c>
      <c r="B112" s="6" t="s">
        <v>296</v>
      </c>
      <c r="C112" s="6" t="s">
        <v>301</v>
      </c>
      <c r="D112" s="7" t="n">
        <v>8.9</v>
      </c>
      <c r="E112" s="7" t="n">
        <v>8.9</v>
      </c>
      <c r="F112" s="6" t="n">
        <v>5</v>
      </c>
      <c r="G112" s="7" t="n">
        <v>6.49</v>
      </c>
      <c r="H112" s="6" t="s">
        <v>39</v>
      </c>
      <c r="I112" s="6" t="str">
        <f aca="false">IF(G112&lt;D112,"più caro",IF(G112&gt;E112,"più economico","in fascia"))</f>
        <v>più caro</v>
      </c>
      <c r="J112" s="8" t="n">
        <f aca="false">IF(G112&lt;D112,(D112-G112)/G112,IF(G112&gt;E112,(E112-G112)/G112,0))</f>
        <v>0.371340523882897</v>
      </c>
    </row>
    <row r="113" customFormat="false" ht="15" hidden="false" customHeight="false" outlineLevel="0" collapsed="false">
      <c r="A113" s="6" t="s">
        <v>302</v>
      </c>
      <c r="B113" s="6" t="s">
        <v>296</v>
      </c>
      <c r="C113" s="6" t="s">
        <v>303</v>
      </c>
      <c r="D113" s="7" t="n">
        <v>7.95</v>
      </c>
      <c r="E113" s="7" t="n">
        <v>7.95</v>
      </c>
      <c r="F113" s="6" t="n">
        <v>5</v>
      </c>
      <c r="G113" s="7" t="n">
        <v>6.49</v>
      </c>
      <c r="H113" s="6" t="s">
        <v>39</v>
      </c>
      <c r="I113" s="6" t="str">
        <f aca="false">IF(G113&lt;D113,"più caro",IF(G113&gt;E113,"più economico","in fascia"))</f>
        <v>più caro</v>
      </c>
      <c r="J113" s="8" t="n">
        <f aca="false">IF(G113&lt;D113,(D113-G113)/G113,IF(G113&gt;E113,(E113-G113)/G113,0))</f>
        <v>0.224961479198767</v>
      </c>
    </row>
    <row r="114" customFormat="false" ht="15" hidden="false" customHeight="false" outlineLevel="0" collapsed="false">
      <c r="A114" s="6" t="s">
        <v>304</v>
      </c>
      <c r="B114" s="6" t="s">
        <v>296</v>
      </c>
      <c r="C114" s="6" t="s">
        <v>305</v>
      </c>
      <c r="D114" s="7" t="n">
        <v>11.99</v>
      </c>
      <c r="E114" s="7" t="n">
        <v>11.99</v>
      </c>
      <c r="F114" s="6" t="n">
        <v>3</v>
      </c>
      <c r="G114" s="7" t="n">
        <v>6.49</v>
      </c>
      <c r="H114" s="6" t="s">
        <v>39</v>
      </c>
      <c r="I114" s="6" t="str">
        <f aca="false">IF(G114&lt;D114,"più caro",IF(G114&gt;E114,"più economico","in fascia"))</f>
        <v>più caro</v>
      </c>
      <c r="J114" s="8" t="n">
        <f aca="false">IF(G114&lt;D114,(D114-G114)/G114,IF(G114&gt;E114,(E114-G114)/G114,0))</f>
        <v>0.847457627118644</v>
      </c>
    </row>
    <row r="115" customFormat="false" ht="15" hidden="false" customHeight="false" outlineLevel="0" collapsed="false">
      <c r="A115" s="6" t="s">
        <v>306</v>
      </c>
      <c r="B115" s="6" t="s">
        <v>307</v>
      </c>
      <c r="C115" s="6" t="s">
        <v>308</v>
      </c>
      <c r="D115" s="7" t="n">
        <v>7.75</v>
      </c>
      <c r="E115" s="7" t="n">
        <v>7.75</v>
      </c>
      <c r="F115" s="6" t="n">
        <v>1</v>
      </c>
      <c r="G115" s="7" t="n">
        <v>8.09</v>
      </c>
      <c r="H115" s="6" t="s">
        <v>31</v>
      </c>
      <c r="I115" s="6" t="str">
        <f aca="false">IF(G115&lt;D115,"più caro",IF(G115&gt;E115,"più economico","in fascia"))</f>
        <v>più economico</v>
      </c>
      <c r="J115" s="8" t="n">
        <f aca="false">IF(G115&lt;D115,(D115-G115)/G115,IF(G115&gt;E115,(E115-G115)/G115,0))</f>
        <v>-0.0420271940667491</v>
      </c>
    </row>
    <row r="116" customFormat="false" ht="15" hidden="false" customHeight="false" outlineLevel="0" collapsed="false">
      <c r="A116" s="6" t="s">
        <v>309</v>
      </c>
      <c r="B116" s="6" t="s">
        <v>307</v>
      </c>
      <c r="C116" s="6" t="s">
        <v>310</v>
      </c>
      <c r="D116" s="7" t="n">
        <v>7.75</v>
      </c>
      <c r="E116" s="7" t="n">
        <v>7.75</v>
      </c>
      <c r="F116" s="6" t="n">
        <v>1</v>
      </c>
      <c r="G116" s="7" t="n">
        <v>8.09</v>
      </c>
      <c r="H116" s="6" t="s">
        <v>31</v>
      </c>
      <c r="I116" s="6" t="str">
        <f aca="false">IF(G116&lt;D116,"più caro",IF(G116&gt;E116,"più economico","in fascia"))</f>
        <v>più economico</v>
      </c>
      <c r="J116" s="8" t="n">
        <f aca="false">IF(G116&lt;D116,(D116-G116)/G116,IF(G116&gt;E116,(E116-G116)/G116,0))</f>
        <v>-0.0420271940667491</v>
      </c>
    </row>
    <row r="117" customFormat="false" ht="15" hidden="false" customHeight="false" outlineLevel="0" collapsed="false">
      <c r="A117" s="6" t="s">
        <v>311</v>
      </c>
      <c r="B117" s="6" t="s">
        <v>307</v>
      </c>
      <c r="C117" s="6" t="s">
        <v>312</v>
      </c>
      <c r="D117" s="7" t="n">
        <v>7.75</v>
      </c>
      <c r="E117" s="7" t="n">
        <v>7.75</v>
      </c>
      <c r="F117" s="6" t="n">
        <v>1</v>
      </c>
      <c r="G117" s="7" t="n">
        <v>8.09</v>
      </c>
      <c r="H117" s="6" t="s">
        <v>31</v>
      </c>
      <c r="I117" s="6" t="str">
        <f aca="false">IF(G117&lt;D117,"più caro",IF(G117&gt;E117,"più economico","in fascia"))</f>
        <v>più economico</v>
      </c>
      <c r="J117" s="8" t="n">
        <f aca="false">IF(G117&lt;D117,(D117-G117)/G117,IF(G117&gt;E117,(E117-G117)/G117,0))</f>
        <v>-0.0420271940667491</v>
      </c>
    </row>
    <row r="118" customFormat="false" ht="15" hidden="false" customHeight="false" outlineLevel="0" collapsed="false">
      <c r="A118" s="6" t="s">
        <v>313</v>
      </c>
      <c r="B118" s="6" t="s">
        <v>307</v>
      </c>
      <c r="C118" s="6" t="s">
        <v>314</v>
      </c>
      <c r="D118" s="7" t="n">
        <v>7.75</v>
      </c>
      <c r="E118" s="7" t="n">
        <v>7.75</v>
      </c>
      <c r="F118" s="6" t="n">
        <v>1</v>
      </c>
      <c r="G118" s="7" t="n">
        <v>8.09</v>
      </c>
      <c r="H118" s="6" t="s">
        <v>31</v>
      </c>
      <c r="I118" s="6" t="str">
        <f aca="false">IF(G118&lt;D118,"più caro",IF(G118&gt;E118,"più economico","in fascia"))</f>
        <v>più economico</v>
      </c>
      <c r="J118" s="8" t="n">
        <f aca="false">IF(G118&lt;D118,(D118-G118)/G118,IF(G118&gt;E118,(E118-G118)/G118,0))</f>
        <v>-0.0420271940667491</v>
      </c>
    </row>
    <row r="119" customFormat="false" ht="15" hidden="false" customHeight="false" outlineLevel="0" collapsed="false">
      <c r="A119" s="6" t="s">
        <v>315</v>
      </c>
      <c r="B119" s="6" t="s">
        <v>307</v>
      </c>
      <c r="C119" s="6" t="s">
        <v>316</v>
      </c>
      <c r="D119" s="7" t="n">
        <v>6.75</v>
      </c>
      <c r="E119" s="7" t="n">
        <v>6.75</v>
      </c>
      <c r="F119" s="6" t="n">
        <v>1</v>
      </c>
      <c r="G119" s="7" t="n">
        <v>7.99</v>
      </c>
      <c r="H119" s="6" t="s">
        <v>31</v>
      </c>
      <c r="I119" s="6" t="str">
        <f aca="false">IF(G119&lt;D119,"più caro",IF(G119&gt;E119,"più economico","in fascia"))</f>
        <v>più economico</v>
      </c>
      <c r="J119" s="8" t="n">
        <f aca="false">IF(G119&lt;D119,(D119-G119)/G119,IF(G119&gt;E119,(E119-G119)/G119,0))</f>
        <v>-0.155193992490613</v>
      </c>
    </row>
    <row r="120" customFormat="false" ht="15" hidden="false" customHeight="false" outlineLevel="0" collapsed="false">
      <c r="A120" s="6" t="s">
        <v>317</v>
      </c>
      <c r="B120" s="6" t="s">
        <v>318</v>
      </c>
      <c r="C120" s="6" t="s">
        <v>319</v>
      </c>
      <c r="D120" s="7" t="n">
        <v>12.9</v>
      </c>
      <c r="E120" s="7" t="n">
        <v>12.9</v>
      </c>
      <c r="F120" s="6" t="n">
        <v>2</v>
      </c>
      <c r="G120" s="7" t="n">
        <v>10</v>
      </c>
      <c r="H120" s="6" t="s">
        <v>147</v>
      </c>
      <c r="I120" s="6" t="str">
        <f aca="false">IF(G120&lt;D120,"più caro",IF(G120&gt;E120,"più economico","in fascia"))</f>
        <v>più caro</v>
      </c>
      <c r="J120" s="8" t="n">
        <f aca="false">IF(G120&lt;D120,(D120-G120)/G120,IF(G120&gt;E120,(E120-G120)/G120,0))</f>
        <v>0.29</v>
      </c>
    </row>
    <row r="121" customFormat="false" ht="15" hidden="false" customHeight="false" outlineLevel="0" collapsed="false">
      <c r="A121" s="6" t="s">
        <v>320</v>
      </c>
      <c r="B121" s="6" t="s">
        <v>318</v>
      </c>
      <c r="C121" s="6" t="s">
        <v>321</v>
      </c>
      <c r="D121" s="7" t="n">
        <v>13.95</v>
      </c>
      <c r="E121" s="7" t="n">
        <v>13.95</v>
      </c>
      <c r="F121" s="6" t="n">
        <v>2</v>
      </c>
      <c r="G121" s="7" t="n">
        <v>10</v>
      </c>
      <c r="H121" s="6" t="s">
        <v>147</v>
      </c>
      <c r="I121" s="6" t="str">
        <f aca="false">IF(G121&lt;D121,"più caro",IF(G121&gt;E121,"più economico","in fascia"))</f>
        <v>più caro</v>
      </c>
      <c r="J121" s="8" t="n">
        <f aca="false">IF(G121&lt;D121,(D121-G121)/G121,IF(G121&gt;E121,(E121-G121)/G121,0))</f>
        <v>0.395</v>
      </c>
    </row>
    <row r="122" customFormat="false" ht="15" hidden="false" customHeight="false" outlineLevel="0" collapsed="false">
      <c r="A122" s="6" t="s">
        <v>322</v>
      </c>
      <c r="B122" s="6" t="s">
        <v>318</v>
      </c>
      <c r="C122" s="6" t="s">
        <v>323</v>
      </c>
      <c r="D122" s="7" t="n">
        <v>14.5</v>
      </c>
      <c r="E122" s="7" t="n">
        <v>14.5</v>
      </c>
      <c r="F122" s="6" t="n">
        <v>2</v>
      </c>
      <c r="G122" s="7" t="n">
        <v>10</v>
      </c>
      <c r="H122" s="6" t="s">
        <v>147</v>
      </c>
      <c r="I122" s="6" t="str">
        <f aca="false">IF(G122&lt;D122,"più caro",IF(G122&gt;E122,"più economico","in fascia"))</f>
        <v>più caro</v>
      </c>
      <c r="J122" s="8" t="n">
        <f aca="false">IF(G122&lt;D122,(D122-G122)/G122,IF(G122&gt;E122,(E122-G122)/G122,0))</f>
        <v>0.45</v>
      </c>
    </row>
    <row r="123" customFormat="false" ht="15" hidden="false" customHeight="false" outlineLevel="0" collapsed="false">
      <c r="A123" s="6" t="s">
        <v>324</v>
      </c>
      <c r="B123" s="6" t="s">
        <v>318</v>
      </c>
      <c r="C123" s="6" t="s">
        <v>325</v>
      </c>
      <c r="D123" s="7" t="n">
        <v>11.5</v>
      </c>
      <c r="E123" s="7" t="n">
        <v>11.5</v>
      </c>
      <c r="F123" s="6" t="n">
        <v>2</v>
      </c>
      <c r="G123" s="7" t="n">
        <v>10</v>
      </c>
      <c r="H123" s="6" t="s">
        <v>147</v>
      </c>
      <c r="I123" s="6" t="str">
        <f aca="false">IF(G123&lt;D123,"più caro",IF(G123&gt;E123,"più economico","in fascia"))</f>
        <v>più caro</v>
      </c>
      <c r="J123" s="8" t="n">
        <f aca="false">IF(G123&lt;D123,(D123-G123)/G123,IF(G123&gt;E123,(E123-G123)/G123,0))</f>
        <v>0.15</v>
      </c>
    </row>
    <row r="124" customFormat="false" ht="15" hidden="false" customHeight="false" outlineLevel="0" collapsed="false">
      <c r="A124" s="6" t="s">
        <v>326</v>
      </c>
      <c r="B124" s="6" t="s">
        <v>318</v>
      </c>
      <c r="C124" s="6" t="s">
        <v>327</v>
      </c>
      <c r="D124" s="7" t="n">
        <v>11.5</v>
      </c>
      <c r="E124" s="7" t="n">
        <v>11.5</v>
      </c>
      <c r="F124" s="6" t="n">
        <v>2</v>
      </c>
      <c r="G124" s="7" t="n">
        <v>10</v>
      </c>
      <c r="H124" s="6" t="s">
        <v>147</v>
      </c>
      <c r="I124" s="6" t="str">
        <f aca="false">IF(G124&lt;D124,"più caro",IF(G124&gt;E124,"più economico","in fascia"))</f>
        <v>più caro</v>
      </c>
      <c r="J124" s="8" t="n">
        <f aca="false">IF(G124&lt;D124,(D124-G124)/G124,IF(G124&gt;E124,(E124-G124)/G124,0))</f>
        <v>0.15</v>
      </c>
    </row>
    <row r="125" customFormat="false" ht="15" hidden="false" customHeight="false" outlineLevel="0" collapsed="false">
      <c r="A125" s="6" t="s">
        <v>328</v>
      </c>
      <c r="B125" s="6" t="s">
        <v>318</v>
      </c>
      <c r="C125" s="6" t="s">
        <v>329</v>
      </c>
      <c r="D125" s="7" t="n">
        <v>12.5</v>
      </c>
      <c r="E125" s="7" t="n">
        <v>12.5</v>
      </c>
      <c r="F125" s="6" t="n">
        <v>2</v>
      </c>
      <c r="G125" s="7" t="n">
        <v>10</v>
      </c>
      <c r="H125" s="6" t="s">
        <v>147</v>
      </c>
      <c r="I125" s="6" t="str">
        <f aca="false">IF(G125&lt;D125,"più caro",IF(G125&gt;E125,"più economico","in fascia"))</f>
        <v>più caro</v>
      </c>
      <c r="J125" s="8" t="n">
        <f aca="false">IF(G125&lt;D125,(D125-G125)/G125,IF(G125&gt;E125,(E125-G125)/G125,0))</f>
        <v>0.25</v>
      </c>
    </row>
    <row r="126" customFormat="false" ht="15" hidden="false" customHeight="false" outlineLevel="0" collapsed="false">
      <c r="A126" s="6" t="s">
        <v>330</v>
      </c>
      <c r="B126" s="6" t="s">
        <v>331</v>
      </c>
      <c r="C126" s="6" t="s">
        <v>332</v>
      </c>
      <c r="D126" s="7" t="n">
        <v>11.9</v>
      </c>
      <c r="E126" s="7" t="n">
        <v>11.9</v>
      </c>
      <c r="F126" s="6" t="n">
        <v>1</v>
      </c>
      <c r="G126" s="7" t="n">
        <v>10.8</v>
      </c>
      <c r="H126" s="6" t="s">
        <v>31</v>
      </c>
      <c r="I126" s="6" t="str">
        <f aca="false">IF(G126&lt;D126,"più caro",IF(G126&gt;E126,"più economico","in fascia"))</f>
        <v>più caro</v>
      </c>
      <c r="J126" s="8" t="n">
        <f aca="false">IF(G126&lt;D126,(D126-G126)/G126,IF(G126&gt;E126,(E126-G126)/G126,0))</f>
        <v>0.101851851851852</v>
      </c>
    </row>
    <row r="127" customFormat="false" ht="15" hidden="false" customHeight="false" outlineLevel="0" collapsed="false">
      <c r="A127" s="6" t="s">
        <v>333</v>
      </c>
      <c r="B127" s="6" t="s">
        <v>331</v>
      </c>
      <c r="C127" s="6" t="s">
        <v>334</v>
      </c>
      <c r="D127" s="7" t="n">
        <v>11.9</v>
      </c>
      <c r="E127" s="7" t="n">
        <v>11.9</v>
      </c>
      <c r="F127" s="6" t="n">
        <v>1</v>
      </c>
      <c r="G127" s="7" t="n">
        <v>10.8</v>
      </c>
      <c r="H127" s="6" t="s">
        <v>31</v>
      </c>
      <c r="I127" s="6" t="str">
        <f aca="false">IF(G127&lt;D127,"più caro",IF(G127&gt;E127,"più economico","in fascia"))</f>
        <v>più caro</v>
      </c>
      <c r="J127" s="8" t="n">
        <f aca="false">IF(G127&lt;D127,(D127-G127)/G127,IF(G127&gt;E127,(E127-G127)/G127,0))</f>
        <v>0.101851851851852</v>
      </c>
    </row>
    <row r="128" customFormat="false" ht="15" hidden="false" customHeight="false" outlineLevel="0" collapsed="false">
      <c r="A128" s="6" t="s">
        <v>335</v>
      </c>
      <c r="B128" s="6" t="s">
        <v>331</v>
      </c>
      <c r="C128" s="6" t="s">
        <v>336</v>
      </c>
      <c r="D128" s="7" t="n">
        <v>14.9</v>
      </c>
      <c r="E128" s="7" t="n">
        <v>14.9</v>
      </c>
      <c r="F128" s="6" t="n">
        <v>2</v>
      </c>
      <c r="G128" s="7" t="n">
        <v>8.13</v>
      </c>
      <c r="H128" s="6" t="s">
        <v>39</v>
      </c>
      <c r="I128" s="6" t="str">
        <f aca="false">IF(G128&lt;D128,"più caro",IF(G128&gt;E128,"più economico","in fascia"))</f>
        <v>più caro</v>
      </c>
      <c r="J128" s="8" t="n">
        <f aca="false">IF(G128&lt;D128,(D128-G128)/G128,IF(G128&gt;E128,(E128-G128)/G128,0))</f>
        <v>0.832718327183272</v>
      </c>
    </row>
    <row r="129" customFormat="false" ht="15" hidden="false" customHeight="false" outlineLevel="0" collapsed="false">
      <c r="A129" s="6" t="s">
        <v>337</v>
      </c>
      <c r="B129" s="6" t="s">
        <v>331</v>
      </c>
      <c r="C129" s="6" t="s">
        <v>338</v>
      </c>
      <c r="D129" s="7" t="n">
        <v>12.5</v>
      </c>
      <c r="E129" s="7" t="n">
        <v>12.5</v>
      </c>
      <c r="F129" s="6" t="n">
        <v>1</v>
      </c>
      <c r="G129" s="7" t="n">
        <v>10.95</v>
      </c>
      <c r="H129" s="6" t="s">
        <v>39</v>
      </c>
      <c r="I129" s="6" t="str">
        <f aca="false">IF(G129&lt;D129,"più caro",IF(G129&gt;E129,"più economico","in fascia"))</f>
        <v>più caro</v>
      </c>
      <c r="J129" s="8" t="n">
        <f aca="false">IF(G129&lt;D129,(D129-G129)/G129,IF(G129&gt;E129,(E129-G129)/G129,0))</f>
        <v>0.141552511415525</v>
      </c>
    </row>
    <row r="130" customFormat="false" ht="15" hidden="false" customHeight="false" outlineLevel="0" collapsed="false">
      <c r="A130" s="6" t="s">
        <v>339</v>
      </c>
      <c r="B130" s="6" t="s">
        <v>340</v>
      </c>
      <c r="C130" s="6" t="s">
        <v>341</v>
      </c>
      <c r="D130" s="7" t="n">
        <v>16.99</v>
      </c>
      <c r="E130" s="7" t="n">
        <v>16.99</v>
      </c>
      <c r="F130" s="6" t="n">
        <v>1</v>
      </c>
      <c r="G130" s="7" t="n">
        <v>19.99</v>
      </c>
      <c r="H130" s="6" t="s">
        <v>31</v>
      </c>
      <c r="I130" s="6" t="str">
        <f aca="false">IF(G130&lt;D130,"più caro",IF(G130&gt;E130,"più economico","in fascia"))</f>
        <v>più economico</v>
      </c>
      <c r="J130" s="8" t="n">
        <f aca="false">IF(G130&lt;D130,(D130-G130)/G130,IF(G130&gt;E130,(E130-G130)/G130,0))</f>
        <v>-0.150075037518759</v>
      </c>
    </row>
    <row r="131" customFormat="false" ht="15" hidden="false" customHeight="false" outlineLevel="0" collapsed="false">
      <c r="A131" s="6" t="s">
        <v>343</v>
      </c>
      <c r="B131" s="6" t="s">
        <v>344</v>
      </c>
      <c r="C131" s="6" t="s">
        <v>345</v>
      </c>
      <c r="D131" s="7" t="n">
        <v>11.5</v>
      </c>
      <c r="E131" s="7" t="n">
        <v>11.5</v>
      </c>
      <c r="F131" s="6" t="n">
        <v>1</v>
      </c>
      <c r="G131" s="7" t="n">
        <v>8.5</v>
      </c>
      <c r="H131" s="6" t="s">
        <v>39</v>
      </c>
      <c r="I131" s="6" t="str">
        <f aca="false">IF(G131&lt;D131,"più caro",IF(G131&gt;E131,"più economico","in fascia"))</f>
        <v>più caro</v>
      </c>
      <c r="J131" s="8" t="n">
        <f aca="false">IF(G131&lt;D131,(D131-G131)/G131,IF(G131&gt;E131,(E131-G131)/G131,0))</f>
        <v>0.352941176470588</v>
      </c>
    </row>
    <row r="132" customFormat="false" ht="15" hidden="false" customHeight="false" outlineLevel="0" collapsed="false">
      <c r="A132" s="6" t="s">
        <v>346</v>
      </c>
      <c r="B132" s="6" t="s">
        <v>344</v>
      </c>
      <c r="C132" s="6" t="s">
        <v>347</v>
      </c>
      <c r="D132" s="7" t="n">
        <v>8.5</v>
      </c>
      <c r="E132" s="7" t="n">
        <v>8.5</v>
      </c>
      <c r="F132" s="6" t="n">
        <v>1</v>
      </c>
      <c r="G132" s="7" t="n">
        <v>8.5</v>
      </c>
      <c r="H132" s="6" t="s">
        <v>39</v>
      </c>
      <c r="I132" s="6" t="str">
        <f aca="false">IF(G132&lt;D132,"più caro",IF(G132&gt;E132,"più economico","in fascia"))</f>
        <v>in fascia</v>
      </c>
      <c r="J132" s="8" t="n">
        <f aca="false">IF(G132&lt;D132,(D132-G132)/G132,IF(G132&gt;E132,(E132-G132)/G132,0))</f>
        <v>0</v>
      </c>
    </row>
    <row r="133" customFormat="false" ht="15" hidden="false" customHeight="false" outlineLevel="0" collapsed="false">
      <c r="A133" s="6" t="s">
        <v>348</v>
      </c>
      <c r="B133" s="6" t="s">
        <v>344</v>
      </c>
      <c r="C133" s="6" t="s">
        <v>349</v>
      </c>
      <c r="D133" s="7" t="n">
        <v>7.5</v>
      </c>
      <c r="E133" s="7" t="n">
        <v>7.5</v>
      </c>
      <c r="F133" s="6" t="n">
        <v>1</v>
      </c>
      <c r="G133" s="7" t="n">
        <v>8.5</v>
      </c>
      <c r="H133" s="6" t="s">
        <v>39</v>
      </c>
      <c r="I133" s="6" t="str">
        <f aca="false">IF(G133&lt;D133,"più caro",IF(G133&gt;E133,"più economico","in fascia"))</f>
        <v>più economico</v>
      </c>
      <c r="J133" s="8" t="n">
        <f aca="false">IF(G133&lt;D133,(D133-G133)/G133,IF(G133&gt;E133,(E133-G133)/G133,0))</f>
        <v>-0.117647058823529</v>
      </c>
    </row>
    <row r="134" customFormat="false" ht="15" hidden="false" customHeight="false" outlineLevel="0" collapsed="false">
      <c r="A134" s="6" t="s">
        <v>350</v>
      </c>
      <c r="B134" s="6" t="s">
        <v>351</v>
      </c>
      <c r="C134" s="6" t="s">
        <v>352</v>
      </c>
      <c r="D134" s="7" t="n">
        <v>135</v>
      </c>
      <c r="E134" s="7" t="n">
        <v>155</v>
      </c>
      <c r="F134" s="6" t="n">
        <v>2</v>
      </c>
      <c r="G134" s="7" t="n">
        <v>124.99</v>
      </c>
      <c r="H134" s="6" t="s">
        <v>31</v>
      </c>
      <c r="I134" s="6" t="str">
        <f aca="false">IF(G134&lt;D134,"più caro",IF(G134&gt;E134,"più economico","in fascia"))</f>
        <v>più caro</v>
      </c>
      <c r="J134" s="8" t="n">
        <f aca="false">IF(G134&lt;D134,(D134-G134)/G134,IF(G134&gt;E134,(E134-G134)/G134,0))</f>
        <v>0.0800864069125531</v>
      </c>
    </row>
    <row r="135" customFormat="false" ht="15" hidden="false" customHeight="false" outlineLevel="0" collapsed="false">
      <c r="A135" s="6" t="s">
        <v>353</v>
      </c>
      <c r="B135" s="6" t="s">
        <v>351</v>
      </c>
      <c r="C135" s="6" t="s">
        <v>354</v>
      </c>
      <c r="D135" s="7" t="n">
        <v>110</v>
      </c>
      <c r="E135" s="7" t="n">
        <v>119</v>
      </c>
      <c r="F135" s="6" t="n">
        <v>3</v>
      </c>
      <c r="G135" s="7" t="n">
        <v>88.3</v>
      </c>
      <c r="H135" s="6" t="s">
        <v>39</v>
      </c>
      <c r="I135" s="6" t="str">
        <f aca="false">IF(G135&lt;D135,"più caro",IF(G135&gt;E135,"più economico","in fascia"))</f>
        <v>più caro</v>
      </c>
      <c r="J135" s="8" t="n">
        <f aca="false">IF(G135&lt;D135,(D135-G135)/G135,IF(G135&gt;E135,(E135-G135)/G135,0))</f>
        <v>0.245753114382786</v>
      </c>
    </row>
    <row r="136" customFormat="false" ht="15" hidden="false" customHeight="false" outlineLevel="0" collapsed="false">
      <c r="A136" s="6" t="s">
        <v>355</v>
      </c>
      <c r="B136" s="6" t="s">
        <v>356</v>
      </c>
      <c r="C136" s="6" t="s">
        <v>357</v>
      </c>
      <c r="D136" s="7" t="n">
        <v>79.9</v>
      </c>
      <c r="E136" s="7" t="n">
        <v>79.9</v>
      </c>
      <c r="F136" s="6" t="n">
        <v>2</v>
      </c>
      <c r="G136" s="7" t="n">
        <v>52</v>
      </c>
      <c r="H136" s="6" t="s">
        <v>226</v>
      </c>
      <c r="I136" s="6" t="str">
        <f aca="false">IF(G136&lt;D136,"più caro",IF(G136&gt;E136,"più economico","in fascia"))</f>
        <v>più caro</v>
      </c>
      <c r="J136" s="8" t="n">
        <f aca="false">IF(G136&lt;D136,(D136-G136)/G136,IF(G136&gt;E136,(E136-G136)/G136,0))</f>
        <v>0.536538461538462</v>
      </c>
    </row>
    <row r="137" customFormat="false" ht="15" hidden="false" customHeight="false" outlineLevel="0" collapsed="false">
      <c r="A137" s="6" t="s">
        <v>358</v>
      </c>
      <c r="B137" s="6" t="s">
        <v>356</v>
      </c>
      <c r="C137" s="6" t="s">
        <v>359</v>
      </c>
      <c r="D137" s="7" t="n">
        <v>94.9</v>
      </c>
      <c r="E137" s="7" t="n">
        <v>94.9</v>
      </c>
      <c r="F137" s="6" t="n">
        <v>2</v>
      </c>
      <c r="G137" s="7" t="n">
        <v>32.99</v>
      </c>
      <c r="H137" s="6" t="s">
        <v>31</v>
      </c>
      <c r="I137" s="6" t="str">
        <f aca="false">IF(G137&lt;D137,"più caro",IF(G137&gt;E137,"più economico","in fascia"))</f>
        <v>più caro</v>
      </c>
      <c r="J137" s="8" t="n">
        <f aca="false">IF(G137&lt;D137,(D137-G137)/G137,IF(G137&gt;E137,(E137-G137)/G137,0))</f>
        <v>1.87662928160049</v>
      </c>
    </row>
    <row r="138" customFormat="false" ht="15" hidden="false" customHeight="false" outlineLevel="0" collapsed="false">
      <c r="A138" s="6" t="s">
        <v>360</v>
      </c>
      <c r="B138" s="6" t="s">
        <v>361</v>
      </c>
      <c r="C138" s="6" t="s">
        <v>362</v>
      </c>
      <c r="D138" s="7" t="n">
        <v>59</v>
      </c>
      <c r="E138" s="7" t="n">
        <v>65</v>
      </c>
      <c r="F138" s="6" t="n">
        <v>1</v>
      </c>
      <c r="G138" s="7" t="n">
        <v>43.95</v>
      </c>
      <c r="H138" s="6" t="s">
        <v>39</v>
      </c>
      <c r="I138" s="6" t="str">
        <f aca="false">IF(G138&lt;D138,"più caro",IF(G138&gt;E138,"più economico","in fascia"))</f>
        <v>più caro</v>
      </c>
      <c r="J138" s="8" t="n">
        <f aca="false">IF(G138&lt;D138,(D138-G138)/G138,IF(G138&gt;E138,(E138-G138)/G138,0))</f>
        <v>0.342434584755404</v>
      </c>
    </row>
    <row r="139" customFormat="false" ht="15" hidden="false" customHeight="false" outlineLevel="0" collapsed="false">
      <c r="A139" s="6" t="s">
        <v>363</v>
      </c>
      <c r="B139" s="6" t="s">
        <v>364</v>
      </c>
      <c r="C139" s="6" t="s">
        <v>365</v>
      </c>
      <c r="D139" s="7" t="n">
        <v>4.5</v>
      </c>
      <c r="E139" s="7" t="n">
        <v>6.98</v>
      </c>
      <c r="F139" s="6" t="n">
        <v>2</v>
      </c>
      <c r="G139" s="7" t="n">
        <v>6.39</v>
      </c>
      <c r="H139" s="6" t="s">
        <v>226</v>
      </c>
      <c r="I139" s="6" t="str">
        <f aca="false">IF(G139&lt;D139,"più caro",IF(G139&gt;E139,"più economico","in fascia"))</f>
        <v>in fascia</v>
      </c>
      <c r="J139" s="8" t="n">
        <f aca="false">IF(G139&lt;D139,(D139-G139)/G139,IF(G139&gt;E139,(E139-G139)/G139,0))</f>
        <v>0</v>
      </c>
    </row>
    <row r="140" customFormat="false" ht="15" hidden="false" customHeight="false" outlineLevel="0" collapsed="false">
      <c r="A140" s="6" t="s">
        <v>367</v>
      </c>
      <c r="B140" s="6" t="s">
        <v>364</v>
      </c>
      <c r="C140" s="6" t="s">
        <v>368</v>
      </c>
      <c r="D140" s="7" t="n">
        <v>6.98</v>
      </c>
      <c r="E140" s="7" t="n">
        <v>6.98</v>
      </c>
      <c r="F140" s="6" t="n">
        <v>2</v>
      </c>
      <c r="G140" s="7" t="n">
        <v>4.8</v>
      </c>
      <c r="H140" s="6" t="s">
        <v>226</v>
      </c>
      <c r="I140" s="6" t="str">
        <f aca="false">IF(G140&lt;D140,"più caro",IF(G140&gt;E140,"più economico","in fascia"))</f>
        <v>più caro</v>
      </c>
      <c r="J140" s="8" t="n">
        <f aca="false">IF(G140&lt;D140,(D140-G140)/G140,IF(G140&gt;E140,(E140-G140)/G140,0))</f>
        <v>0.454166666666667</v>
      </c>
    </row>
    <row r="141" customFormat="false" ht="15" hidden="false" customHeight="false" outlineLevel="0" collapsed="false">
      <c r="A141" s="6" t="s">
        <v>369</v>
      </c>
      <c r="B141" s="6" t="s">
        <v>364</v>
      </c>
      <c r="C141" s="6" t="s">
        <v>370</v>
      </c>
      <c r="D141" s="7" t="n">
        <v>8.9</v>
      </c>
      <c r="E141" s="7" t="n">
        <v>8.9</v>
      </c>
      <c r="F141" s="6" t="n">
        <v>2</v>
      </c>
      <c r="G141" s="7" t="n">
        <v>3.49</v>
      </c>
      <c r="H141" s="6" t="s">
        <v>39</v>
      </c>
      <c r="I141" s="6" t="str">
        <f aca="false">IF(G141&lt;D141,"più caro",IF(G141&gt;E141,"più economico","in fascia"))</f>
        <v>più caro</v>
      </c>
      <c r="J141" s="8" t="n">
        <f aca="false">IF(G141&lt;D141,(D141-G141)/G141,IF(G141&gt;E141,(E141-G141)/G141,0))</f>
        <v>1.55014326647564</v>
      </c>
    </row>
    <row r="142" customFormat="false" ht="15" hidden="false" customHeight="false" outlineLevel="0" collapsed="false">
      <c r="A142" s="6" t="s">
        <v>371</v>
      </c>
      <c r="B142" s="6" t="s">
        <v>364</v>
      </c>
      <c r="C142" s="6" t="s">
        <v>372</v>
      </c>
      <c r="D142" s="7" t="n">
        <v>6.5</v>
      </c>
      <c r="E142" s="7" t="n">
        <v>6.5</v>
      </c>
      <c r="F142" s="6" t="n">
        <v>2</v>
      </c>
      <c r="G142" s="7" t="n">
        <v>5.99</v>
      </c>
      <c r="H142" s="6" t="s">
        <v>31</v>
      </c>
      <c r="I142" s="6" t="str">
        <f aca="false">IF(G142&lt;D142,"più caro",IF(G142&gt;E142,"più economico","in fascia"))</f>
        <v>più caro</v>
      </c>
      <c r="J142" s="8" t="n">
        <f aca="false">IF(G142&lt;D142,(D142-G142)/G142,IF(G142&gt;E142,(E142-G142)/G142,0))</f>
        <v>0.0851419031719532</v>
      </c>
    </row>
    <row r="143" customFormat="false" ht="15" hidden="false" customHeight="false" outlineLevel="0" collapsed="false">
      <c r="A143" s="6" t="s">
        <v>373</v>
      </c>
      <c r="B143" s="6" t="s">
        <v>364</v>
      </c>
      <c r="C143" s="6" t="s">
        <v>374</v>
      </c>
      <c r="D143" s="7" t="n">
        <v>17.69</v>
      </c>
      <c r="E143" s="7" t="n">
        <v>17.69</v>
      </c>
      <c r="F143" s="6" t="n">
        <v>4</v>
      </c>
      <c r="G143" s="7" t="n">
        <v>15.1</v>
      </c>
      <c r="H143" s="6" t="s">
        <v>147</v>
      </c>
      <c r="I143" s="6" t="str">
        <f aca="false">IF(G143&lt;D143,"più caro",IF(G143&gt;E143,"più economico","in fascia"))</f>
        <v>più caro</v>
      </c>
      <c r="J143" s="8" t="n">
        <f aca="false">IF(G143&lt;D143,(D143-G143)/G143,IF(G143&gt;E143,(E143-G143)/G143,0))</f>
        <v>0.171523178807947</v>
      </c>
    </row>
    <row r="144" customFormat="false" ht="15" hidden="false" customHeight="false" outlineLevel="0" collapsed="false">
      <c r="A144" s="6" t="s">
        <v>376</v>
      </c>
      <c r="B144" s="6" t="s">
        <v>364</v>
      </c>
      <c r="C144" s="6" t="s">
        <v>377</v>
      </c>
      <c r="D144" s="7" t="n">
        <v>18.88</v>
      </c>
      <c r="E144" s="7" t="n">
        <v>18.88</v>
      </c>
      <c r="F144" s="6" t="n">
        <v>1</v>
      </c>
      <c r="G144" s="7" t="n">
        <v>18.95</v>
      </c>
      <c r="H144" s="6" t="s">
        <v>39</v>
      </c>
      <c r="I144" s="6" t="str">
        <f aca="false">IF(G144&lt;D144,"più caro",IF(G144&gt;E144,"più economico","in fascia"))</f>
        <v>più economico</v>
      </c>
      <c r="J144" s="8" t="n">
        <f aca="false">IF(G144&lt;D144,(D144-G144)/G144,IF(G144&gt;E144,(E144-G144)/G144,0))</f>
        <v>-0.0036939313984169</v>
      </c>
    </row>
    <row r="145" customFormat="false" ht="15" hidden="false" customHeight="false" outlineLevel="0" collapsed="false">
      <c r="A145" s="6" t="s">
        <v>378</v>
      </c>
      <c r="B145" s="6" t="s">
        <v>364</v>
      </c>
      <c r="C145" s="6" t="s">
        <v>379</v>
      </c>
      <c r="D145" s="7" t="n">
        <v>18.95</v>
      </c>
      <c r="E145" s="7" t="n">
        <v>18.95</v>
      </c>
      <c r="F145" s="6" t="n">
        <v>3</v>
      </c>
      <c r="G145" s="7" t="n">
        <v>16.2</v>
      </c>
      <c r="H145" s="6" t="s">
        <v>31</v>
      </c>
      <c r="I145" s="6" t="str">
        <f aca="false">IF(G145&lt;D145,"più caro",IF(G145&gt;E145,"più economico","in fascia"))</f>
        <v>più caro</v>
      </c>
      <c r="J145" s="8" t="n">
        <f aca="false">IF(G145&lt;D145,(D145-G145)/G145,IF(G145&gt;E145,(E145-G145)/G145,0))</f>
        <v>0.169753086419753</v>
      </c>
    </row>
    <row r="146" customFormat="false" ht="15" hidden="false" customHeight="false" outlineLevel="0" collapsed="false">
      <c r="A146" s="6" t="s">
        <v>380</v>
      </c>
      <c r="B146" s="6" t="s">
        <v>364</v>
      </c>
      <c r="C146" s="6" t="s">
        <v>381</v>
      </c>
      <c r="D146" s="7" t="n">
        <v>18.85</v>
      </c>
      <c r="E146" s="7" t="n">
        <v>18.85</v>
      </c>
      <c r="F146" s="6" t="n">
        <v>2</v>
      </c>
      <c r="G146" s="7" t="n">
        <v>17.25</v>
      </c>
      <c r="H146" s="6" t="s">
        <v>226</v>
      </c>
      <c r="I146" s="6" t="str">
        <f aca="false">IF(G146&lt;D146,"più caro",IF(G146&gt;E146,"più economico","in fascia"))</f>
        <v>più caro</v>
      </c>
      <c r="J146" s="8" t="n">
        <f aca="false">IF(G146&lt;D146,(D146-G146)/G146,IF(G146&gt;E146,(E146-G146)/G146,0))</f>
        <v>0.0927536231884059</v>
      </c>
    </row>
    <row r="147" customFormat="false" ht="15" hidden="false" customHeight="false" outlineLevel="0" collapsed="false">
      <c r="A147" s="6" t="s">
        <v>382</v>
      </c>
      <c r="B147" s="6" t="s">
        <v>364</v>
      </c>
      <c r="C147" s="6" t="s">
        <v>383</v>
      </c>
      <c r="D147" s="7" t="n">
        <v>17.98</v>
      </c>
      <c r="E147" s="7" t="n">
        <v>17.98</v>
      </c>
      <c r="F147" s="6" t="n">
        <v>1</v>
      </c>
      <c r="G147" s="7" t="n">
        <v>18.95</v>
      </c>
      <c r="H147" s="6" t="s">
        <v>39</v>
      </c>
      <c r="I147" s="6" t="str">
        <f aca="false">IF(G147&lt;D147,"più caro",IF(G147&gt;E147,"più economico","in fascia"))</f>
        <v>più economico</v>
      </c>
      <c r="J147" s="8" t="n">
        <f aca="false">IF(G147&lt;D147,(D147-G147)/G147,IF(G147&gt;E147,(E147-G147)/G147,0))</f>
        <v>-0.0511873350923482</v>
      </c>
    </row>
    <row r="148" customFormat="false" ht="15" hidden="false" customHeight="false" outlineLevel="0" collapsed="false">
      <c r="A148" s="6" t="s">
        <v>384</v>
      </c>
      <c r="B148" s="6" t="s">
        <v>364</v>
      </c>
      <c r="C148" s="6" t="s">
        <v>385</v>
      </c>
      <c r="D148" s="7" t="n">
        <v>359.5</v>
      </c>
      <c r="E148" s="7" t="n">
        <v>499.9</v>
      </c>
      <c r="F148" s="6" t="n">
        <v>1</v>
      </c>
      <c r="G148" s="7" t="n">
        <v>463.99</v>
      </c>
      <c r="H148" s="6" t="s">
        <v>31</v>
      </c>
      <c r="I148" s="6" t="str">
        <f aca="false">IF(G148&lt;D148,"più caro",IF(G148&gt;E148,"più economico","in fascia"))</f>
        <v>in fascia</v>
      </c>
      <c r="J148" s="8" t="n">
        <f aca="false">IF(G148&lt;D148,(D148-G148)/G148,IF(G148&gt;E148,(E148-G148)/G148,0))</f>
        <v>0</v>
      </c>
    </row>
    <row r="149" customFormat="false" ht="15" hidden="false" customHeight="false" outlineLevel="0" collapsed="false">
      <c r="A149" s="6" t="s">
        <v>387</v>
      </c>
      <c r="B149" s="6" t="s">
        <v>364</v>
      </c>
      <c r="C149" s="6" t="s">
        <v>388</v>
      </c>
      <c r="D149" s="7" t="n">
        <v>249</v>
      </c>
      <c r="E149" s="7" t="n">
        <v>255</v>
      </c>
      <c r="F149" s="6" t="n">
        <v>1</v>
      </c>
      <c r="G149" s="7" t="n">
        <v>199.99</v>
      </c>
      <c r="H149" s="6" t="s">
        <v>31</v>
      </c>
      <c r="I149" s="6" t="str">
        <f aca="false">IF(G149&lt;D149,"più caro",IF(G149&gt;E149,"più economico","in fascia"))</f>
        <v>più caro</v>
      </c>
      <c r="J149" s="8" t="n">
        <f aca="false">IF(G149&lt;D149,(D149-G149)/G149,IF(G149&gt;E149,(E149-G149)/G149,0))</f>
        <v>0.245062253112656</v>
      </c>
    </row>
    <row r="150" customFormat="false" ht="15" hidden="false" customHeight="false" outlineLevel="0" collapsed="false">
      <c r="A150" s="6" t="s">
        <v>389</v>
      </c>
      <c r="B150" s="6" t="s">
        <v>364</v>
      </c>
      <c r="C150" s="6" t="s">
        <v>390</v>
      </c>
      <c r="D150" s="7" t="n">
        <v>13</v>
      </c>
      <c r="E150" s="7" t="n">
        <v>20.8</v>
      </c>
      <c r="F150" s="6" t="n">
        <v>2</v>
      </c>
      <c r="G150" s="7" t="n">
        <v>10.8</v>
      </c>
      <c r="H150" s="6" t="s">
        <v>147</v>
      </c>
      <c r="I150" s="6" t="str">
        <f aca="false">IF(G150&lt;D150,"più caro",IF(G150&gt;E150,"più economico","in fascia"))</f>
        <v>più caro</v>
      </c>
      <c r="J150" s="8" t="n">
        <f aca="false">IF(G150&lt;D150,(D150-G150)/G150,IF(G150&gt;E150,(E150-G150)/G150,0))</f>
        <v>0.203703703703704</v>
      </c>
    </row>
    <row r="151" customFormat="false" ht="15" hidden="false" customHeight="false" outlineLevel="0" collapsed="false">
      <c r="A151" s="6" t="s">
        <v>392</v>
      </c>
      <c r="B151" s="6" t="s">
        <v>364</v>
      </c>
      <c r="C151" s="6" t="s">
        <v>393</v>
      </c>
      <c r="D151" s="7" t="n">
        <v>6.79</v>
      </c>
      <c r="E151" s="7" t="n">
        <v>6.79</v>
      </c>
      <c r="F151" s="6" t="n">
        <v>3</v>
      </c>
      <c r="G151" s="7" t="n">
        <v>5.99</v>
      </c>
      <c r="H151" s="6" t="s">
        <v>31</v>
      </c>
      <c r="I151" s="6" t="str">
        <f aca="false">IF(G151&lt;D151,"più caro",IF(G151&gt;E151,"più economico","in fascia"))</f>
        <v>più caro</v>
      </c>
      <c r="J151" s="8" t="n">
        <f aca="false">IF(G151&lt;D151,(D151-G151)/G151,IF(G151&gt;E151,(E151-G151)/G151,0))</f>
        <v>0.13355592654424</v>
      </c>
    </row>
    <row r="152" customFormat="false" ht="15" hidden="false" customHeight="false" outlineLevel="0" collapsed="false">
      <c r="A152" s="6" t="s">
        <v>394</v>
      </c>
      <c r="B152" s="6" t="s">
        <v>364</v>
      </c>
      <c r="C152" s="6" t="s">
        <v>395</v>
      </c>
      <c r="D152" s="7" t="n">
        <v>6.79</v>
      </c>
      <c r="E152" s="7" t="n">
        <v>6.79</v>
      </c>
      <c r="F152" s="6" t="n">
        <v>3</v>
      </c>
      <c r="G152" s="7" t="n">
        <v>5.99</v>
      </c>
      <c r="H152" s="6" t="s">
        <v>31</v>
      </c>
      <c r="I152" s="6" t="str">
        <f aca="false">IF(G152&lt;D152,"più caro",IF(G152&gt;E152,"più economico","in fascia"))</f>
        <v>più caro</v>
      </c>
      <c r="J152" s="8" t="n">
        <f aca="false">IF(G152&lt;D152,(D152-G152)/G152,IF(G152&gt;E152,(E152-G152)/G152,0))</f>
        <v>0.13355592654424</v>
      </c>
    </row>
    <row r="153" customFormat="false" ht="15" hidden="false" customHeight="false" outlineLevel="0" collapsed="false">
      <c r="A153" s="6" t="s">
        <v>396</v>
      </c>
      <c r="B153" s="6" t="s">
        <v>364</v>
      </c>
      <c r="C153" s="6" t="s">
        <v>397</v>
      </c>
      <c r="D153" s="7" t="n">
        <v>6.29</v>
      </c>
      <c r="E153" s="7" t="n">
        <v>6.29</v>
      </c>
      <c r="F153" s="6" t="n">
        <v>2</v>
      </c>
      <c r="G153" s="7" t="n">
        <v>6.09</v>
      </c>
      <c r="H153" s="6" t="s">
        <v>31</v>
      </c>
      <c r="I153" s="6" t="str">
        <f aca="false">IF(G153&lt;D153,"più caro",IF(G153&gt;E153,"più economico","in fascia"))</f>
        <v>più caro</v>
      </c>
      <c r="J153" s="8" t="n">
        <f aca="false">IF(G153&lt;D153,(D153-G153)/G153,IF(G153&gt;E153,(E153-G153)/G153,0))</f>
        <v>0.0328407224958949</v>
      </c>
    </row>
    <row r="154" customFormat="false" ht="15" hidden="false" customHeight="false" outlineLevel="0" collapsed="false">
      <c r="A154" s="6" t="s">
        <v>398</v>
      </c>
      <c r="B154" s="6" t="s">
        <v>364</v>
      </c>
      <c r="C154" s="6" t="s">
        <v>399</v>
      </c>
      <c r="D154" s="7" t="n">
        <v>6.59</v>
      </c>
      <c r="E154" s="7" t="n">
        <v>6.59</v>
      </c>
      <c r="F154" s="6" t="n">
        <v>1</v>
      </c>
      <c r="G154" s="7" t="n">
        <v>6.49</v>
      </c>
      <c r="H154" s="6" t="s">
        <v>31</v>
      </c>
      <c r="I154" s="6" t="str">
        <f aca="false">IF(G154&lt;D154,"più caro",IF(G154&gt;E154,"più economico","in fascia"))</f>
        <v>più caro</v>
      </c>
      <c r="J154" s="8" t="n">
        <f aca="false">IF(G154&lt;D154,(D154-G154)/G154,IF(G154&gt;E154,(E154-G154)/G154,0))</f>
        <v>0.0154083204930662</v>
      </c>
    </row>
    <row r="155" customFormat="false" ht="15" hidden="false" customHeight="false" outlineLevel="0" collapsed="false">
      <c r="A155" s="6" t="s">
        <v>400</v>
      </c>
      <c r="B155" s="6" t="s">
        <v>364</v>
      </c>
      <c r="C155" s="6" t="s">
        <v>401</v>
      </c>
      <c r="D155" s="7" t="n">
        <v>29.99</v>
      </c>
      <c r="E155" s="7" t="n">
        <v>29.99</v>
      </c>
      <c r="F155" s="6" t="n">
        <v>2</v>
      </c>
      <c r="G155" s="7" t="n">
        <v>23.79</v>
      </c>
      <c r="H155" s="6" t="s">
        <v>31</v>
      </c>
      <c r="I155" s="6" t="str">
        <f aca="false">IF(G155&lt;D155,"più caro",IF(G155&gt;E155,"più economico","in fascia"))</f>
        <v>più caro</v>
      </c>
      <c r="J155" s="8" t="n">
        <f aca="false">IF(G155&lt;D155,(D155-G155)/G155,IF(G155&gt;E155,(E155-G155)/G155,0))</f>
        <v>0.260613703236654</v>
      </c>
    </row>
    <row r="156" customFormat="false" ht="15" hidden="false" customHeight="false" outlineLevel="0" collapsed="false">
      <c r="A156" s="6" t="s">
        <v>402</v>
      </c>
      <c r="B156" s="6" t="s">
        <v>364</v>
      </c>
      <c r="C156" s="6" t="s">
        <v>403</v>
      </c>
      <c r="D156" s="7" t="n">
        <v>27.9</v>
      </c>
      <c r="E156" s="7" t="n">
        <v>29.9</v>
      </c>
      <c r="F156" s="6" t="n">
        <v>1</v>
      </c>
      <c r="G156" s="7" t="n">
        <v>24.23</v>
      </c>
      <c r="H156" s="6" t="s">
        <v>226</v>
      </c>
      <c r="I156" s="6" t="str">
        <f aca="false">IF(G156&lt;D156,"più caro",IF(G156&gt;E156,"più economico","in fascia"))</f>
        <v>più caro</v>
      </c>
      <c r="J156" s="8" t="n">
        <f aca="false">IF(G156&lt;D156,(D156-G156)/G156,IF(G156&gt;E156,(E156-G156)/G156,0))</f>
        <v>0.151465125877012</v>
      </c>
    </row>
    <row r="157" customFormat="false" ht="15" hidden="false" customHeight="false" outlineLevel="0" collapsed="false">
      <c r="A157" s="6" t="s">
        <v>404</v>
      </c>
      <c r="B157" s="6" t="s">
        <v>364</v>
      </c>
      <c r="C157" s="6" t="s">
        <v>405</v>
      </c>
      <c r="D157" s="7" t="n">
        <v>27.9</v>
      </c>
      <c r="E157" s="7" t="n">
        <v>29.99</v>
      </c>
      <c r="F157" s="6" t="n">
        <v>1</v>
      </c>
      <c r="G157" s="7" t="n">
        <v>25.6</v>
      </c>
      <c r="H157" s="6" t="s">
        <v>39</v>
      </c>
      <c r="I157" s="6" t="str">
        <f aca="false">IF(G157&lt;D157,"più caro",IF(G157&gt;E157,"più economico","in fascia"))</f>
        <v>più caro</v>
      </c>
      <c r="J157" s="8" t="n">
        <f aca="false">IF(G157&lt;D157,(D157-G157)/G157,IF(G157&gt;E157,(E157-G157)/G157,0))</f>
        <v>0.0898437499999999</v>
      </c>
    </row>
    <row r="158" customFormat="false" ht="15" hidden="false" customHeight="false" outlineLevel="0" collapsed="false">
      <c r="A158" s="6" t="s">
        <v>406</v>
      </c>
      <c r="B158" s="6" t="s">
        <v>364</v>
      </c>
      <c r="C158" s="6" t="s">
        <v>407</v>
      </c>
      <c r="D158" s="7" t="n">
        <v>31.5</v>
      </c>
      <c r="E158" s="7" t="n">
        <v>31.5</v>
      </c>
      <c r="F158" s="6" t="n">
        <v>1</v>
      </c>
      <c r="G158" s="7" t="n">
        <v>24.23</v>
      </c>
      <c r="H158" s="6" t="s">
        <v>226</v>
      </c>
      <c r="I158" s="6" t="str">
        <f aca="false">IF(G158&lt;D158,"più caro",IF(G158&gt;E158,"più economico","in fascia"))</f>
        <v>più caro</v>
      </c>
      <c r="J158" s="8" t="n">
        <f aca="false">IF(G158&lt;D158,(D158-G158)/G158,IF(G158&gt;E158,(E158-G158)/G158,0))</f>
        <v>0.300041271151465</v>
      </c>
    </row>
    <row r="159" customFormat="false" ht="15" hidden="false" customHeight="false" outlineLevel="0" collapsed="false">
      <c r="A159" s="6" t="s">
        <v>409</v>
      </c>
      <c r="B159" s="6" t="s">
        <v>364</v>
      </c>
      <c r="C159" s="6" t="s">
        <v>410</v>
      </c>
      <c r="D159" s="7" t="n">
        <v>31.5</v>
      </c>
      <c r="E159" s="7" t="n">
        <v>31.5</v>
      </c>
      <c r="F159" s="6" t="n">
        <v>1</v>
      </c>
      <c r="G159" s="7" t="n">
        <v>33.15</v>
      </c>
      <c r="H159" s="6" t="s">
        <v>226</v>
      </c>
      <c r="I159" s="6" t="str">
        <f aca="false">IF(G159&lt;D159,"più caro",IF(G159&gt;E159,"più economico","in fascia"))</f>
        <v>più economico</v>
      </c>
      <c r="J159" s="8" t="n">
        <f aca="false">IF(G159&lt;D159,(D159-G159)/G159,IF(G159&gt;E159,(E159-G159)/G159,0))</f>
        <v>-0.0497737556561086</v>
      </c>
    </row>
    <row r="160" customFormat="false" ht="15" hidden="false" customHeight="false" outlineLevel="0" collapsed="false">
      <c r="A160" s="6" t="s">
        <v>411</v>
      </c>
      <c r="B160" s="6" t="s">
        <v>364</v>
      </c>
      <c r="C160" s="6" t="s">
        <v>412</v>
      </c>
      <c r="D160" s="7" t="n">
        <v>29.88</v>
      </c>
      <c r="E160" s="7" t="n">
        <v>29.88</v>
      </c>
      <c r="F160" s="6" t="n">
        <v>1</v>
      </c>
      <c r="G160" s="7" t="n">
        <v>25.6</v>
      </c>
      <c r="H160" s="6" t="s">
        <v>39</v>
      </c>
      <c r="I160" s="6" t="str">
        <f aca="false">IF(G160&lt;D160,"più caro",IF(G160&gt;E160,"più economico","in fascia"))</f>
        <v>più caro</v>
      </c>
      <c r="J160" s="8" t="n">
        <f aca="false">IF(G160&lt;D160,(D160-G160)/G160,IF(G160&gt;E160,(E160-G160)/G160,0))</f>
        <v>0.1671875</v>
      </c>
    </row>
    <row r="161" customFormat="false" ht="15" hidden="false" customHeight="false" outlineLevel="0" collapsed="false">
      <c r="A161" s="6" t="s">
        <v>413</v>
      </c>
      <c r="B161" s="6" t="s">
        <v>364</v>
      </c>
      <c r="C161" s="6" t="s">
        <v>414</v>
      </c>
      <c r="D161" s="7" t="n">
        <v>26.98</v>
      </c>
      <c r="E161" s="7" t="n">
        <v>26.98</v>
      </c>
      <c r="F161" s="6" t="n">
        <v>1</v>
      </c>
      <c r="G161" s="7" t="n">
        <v>24.23</v>
      </c>
      <c r="H161" s="6" t="s">
        <v>226</v>
      </c>
      <c r="I161" s="6" t="str">
        <f aca="false">IF(G161&lt;D161,"più caro",IF(G161&gt;E161,"più economico","in fascia"))</f>
        <v>più caro</v>
      </c>
      <c r="J161" s="8" t="n">
        <f aca="false">IF(G161&lt;D161,(D161-G161)/G161,IF(G161&gt;E161,(E161-G161)/G161,0))</f>
        <v>0.113495666529096</v>
      </c>
    </row>
    <row r="162" customFormat="false" ht="15" hidden="false" customHeight="false" outlineLevel="0" collapsed="false">
      <c r="A162" s="6" t="s">
        <v>415</v>
      </c>
      <c r="B162" s="6" t="s">
        <v>364</v>
      </c>
      <c r="C162" s="6" t="s">
        <v>416</v>
      </c>
      <c r="D162" s="7" t="n">
        <v>29.98</v>
      </c>
      <c r="E162" s="7" t="n">
        <v>32.7</v>
      </c>
      <c r="F162" s="6" t="n">
        <v>1</v>
      </c>
      <c r="G162" s="7" t="n">
        <v>30.35</v>
      </c>
      <c r="H162" s="6" t="s">
        <v>39</v>
      </c>
      <c r="I162" s="6" t="str">
        <f aca="false">IF(G162&lt;D162,"più caro",IF(G162&gt;E162,"più economico","in fascia"))</f>
        <v>in fascia</v>
      </c>
      <c r="J162" s="8" t="n">
        <f aca="false">IF(G162&lt;D162,(D162-G162)/G162,IF(G162&gt;E162,(E162-G162)/G162,0))</f>
        <v>0</v>
      </c>
    </row>
    <row r="163" customFormat="false" ht="15" hidden="false" customHeight="false" outlineLevel="0" collapsed="false">
      <c r="A163" s="6" t="s">
        <v>417</v>
      </c>
      <c r="B163" s="6" t="s">
        <v>364</v>
      </c>
      <c r="C163" s="6" t="s">
        <v>418</v>
      </c>
      <c r="D163" s="7" t="n">
        <v>17.98</v>
      </c>
      <c r="E163" s="7" t="n">
        <v>17.98</v>
      </c>
      <c r="F163" s="6" t="n">
        <v>2</v>
      </c>
      <c r="G163" s="7" t="n">
        <v>18.9</v>
      </c>
      <c r="H163" s="6" t="s">
        <v>147</v>
      </c>
      <c r="I163" s="6" t="str">
        <f aca="false">IF(G163&lt;D163,"più caro",IF(G163&gt;E163,"più economico","in fascia"))</f>
        <v>più economico</v>
      </c>
      <c r="J163" s="8" t="n">
        <f aca="false">IF(G163&lt;D163,(D163-G163)/G163,IF(G163&gt;E163,(E163-G163)/G163,0))</f>
        <v>-0.0486772486772486</v>
      </c>
    </row>
    <row r="164" customFormat="false" ht="15" hidden="false" customHeight="false" outlineLevel="0" collapsed="false">
      <c r="A164" s="6" t="s">
        <v>419</v>
      </c>
      <c r="B164" s="6" t="s">
        <v>364</v>
      </c>
      <c r="C164" s="6" t="s">
        <v>420</v>
      </c>
      <c r="D164" s="7" t="n">
        <v>17.99</v>
      </c>
      <c r="E164" s="7" t="n">
        <v>17.99</v>
      </c>
      <c r="F164" s="6" t="n">
        <v>2</v>
      </c>
      <c r="G164" s="7" t="n">
        <v>14.59</v>
      </c>
      <c r="H164" s="6" t="s">
        <v>31</v>
      </c>
      <c r="I164" s="6" t="str">
        <f aca="false">IF(G164&lt;D164,"più caro",IF(G164&gt;E164,"più economico","in fascia"))</f>
        <v>più caro</v>
      </c>
      <c r="J164" s="8" t="n">
        <f aca="false">IF(G164&lt;D164,(D164-G164)/G164,IF(G164&gt;E164,(E164-G164)/G164,0))</f>
        <v>0.233036326250857</v>
      </c>
    </row>
    <row r="165" customFormat="false" ht="15" hidden="false" customHeight="false" outlineLevel="0" collapsed="false">
      <c r="A165" s="6" t="s">
        <v>421</v>
      </c>
      <c r="B165" s="6" t="s">
        <v>364</v>
      </c>
      <c r="C165" s="6" t="s">
        <v>422</v>
      </c>
      <c r="D165" s="7" t="n">
        <v>5.9</v>
      </c>
      <c r="E165" s="7" t="n">
        <v>6.9</v>
      </c>
      <c r="F165" s="6" t="n">
        <v>1</v>
      </c>
      <c r="G165" s="7" t="n">
        <v>5.49</v>
      </c>
      <c r="H165" s="6" t="s">
        <v>31</v>
      </c>
      <c r="I165" s="6" t="str">
        <f aca="false">IF(G165&lt;D165,"più caro",IF(G165&gt;E165,"più economico","in fascia"))</f>
        <v>più caro</v>
      </c>
      <c r="J165" s="8" t="n">
        <f aca="false">IF(G165&lt;D165,(D165-G165)/G165,IF(G165&gt;E165,(E165-G165)/G165,0))</f>
        <v>0.0746812386156649</v>
      </c>
    </row>
    <row r="166" customFormat="false" ht="15" hidden="false" customHeight="false" outlineLevel="0" collapsed="false">
      <c r="A166" s="6" t="s">
        <v>424</v>
      </c>
      <c r="B166" s="6" t="s">
        <v>364</v>
      </c>
      <c r="C166" s="6" t="s">
        <v>425</v>
      </c>
      <c r="D166" s="7" t="n">
        <v>5.9</v>
      </c>
      <c r="E166" s="7" t="n">
        <v>11.5</v>
      </c>
      <c r="F166" s="6" t="n">
        <v>1</v>
      </c>
      <c r="G166" s="7" t="n">
        <v>5.99</v>
      </c>
      <c r="H166" s="6" t="s">
        <v>31</v>
      </c>
      <c r="I166" s="6" t="str">
        <f aca="false">IF(G166&lt;D166,"più caro",IF(G166&gt;E166,"più economico","in fascia"))</f>
        <v>in fascia</v>
      </c>
      <c r="J166" s="8" t="n">
        <f aca="false">IF(G166&lt;D166,(D166-G166)/G166,IF(G166&gt;E166,(E166-G166)/G166,0))</f>
        <v>0</v>
      </c>
    </row>
    <row r="167" customFormat="false" ht="15" hidden="false" customHeight="false" outlineLevel="0" collapsed="false">
      <c r="A167" s="6" t="s">
        <v>427</v>
      </c>
      <c r="B167" s="6" t="s">
        <v>364</v>
      </c>
      <c r="C167" s="6" t="s">
        <v>428</v>
      </c>
      <c r="D167" s="7" t="n">
        <v>3.6</v>
      </c>
      <c r="E167" s="7" t="n">
        <v>3.6</v>
      </c>
      <c r="F167" s="6" t="n">
        <v>1</v>
      </c>
      <c r="G167" s="7" t="n">
        <v>3.25</v>
      </c>
      <c r="H167" s="6" t="s">
        <v>31</v>
      </c>
      <c r="I167" s="6" t="str">
        <f aca="false">IF(G167&lt;D167,"più caro",IF(G167&gt;E167,"più economico","in fascia"))</f>
        <v>più caro</v>
      </c>
      <c r="J167" s="8" t="n">
        <f aca="false">IF(G167&lt;D167,(D167-G167)/G167,IF(G167&gt;E167,(E167-G167)/G167,0))</f>
        <v>0.107692307692308</v>
      </c>
    </row>
    <row r="168" customFormat="false" ht="15" hidden="false" customHeight="false" outlineLevel="0" collapsed="false">
      <c r="A168" s="6" t="s">
        <v>429</v>
      </c>
      <c r="B168" s="6" t="s">
        <v>364</v>
      </c>
      <c r="C168" s="6" t="s">
        <v>430</v>
      </c>
      <c r="D168" s="7" t="n">
        <v>11.95</v>
      </c>
      <c r="E168" s="7" t="n">
        <v>11.95</v>
      </c>
      <c r="F168" s="6" t="n">
        <v>3</v>
      </c>
      <c r="G168" s="7" t="n">
        <v>10.8</v>
      </c>
      <c r="H168" s="6" t="s">
        <v>226</v>
      </c>
      <c r="I168" s="6" t="str">
        <f aca="false">IF(G168&lt;D168,"più caro",IF(G168&gt;E168,"più economico","in fascia"))</f>
        <v>più caro</v>
      </c>
      <c r="J168" s="8" t="n">
        <f aca="false">IF(G168&lt;D168,(D168-G168)/G168,IF(G168&gt;E168,(E168-G168)/G168,0))</f>
        <v>0.106481481481481</v>
      </c>
    </row>
    <row r="169" customFormat="false" ht="15" hidden="false" customHeight="false" outlineLevel="0" collapsed="false">
      <c r="A169" s="6" t="s">
        <v>431</v>
      </c>
      <c r="B169" s="6" t="s">
        <v>364</v>
      </c>
      <c r="C169" s="6" t="s">
        <v>432</v>
      </c>
      <c r="D169" s="7" t="n">
        <v>13.75</v>
      </c>
      <c r="E169" s="7" t="n">
        <v>13.75</v>
      </c>
      <c r="F169" s="6" t="n">
        <v>4</v>
      </c>
      <c r="G169" s="7" t="n">
        <v>8.28</v>
      </c>
      <c r="H169" s="6" t="s">
        <v>147</v>
      </c>
      <c r="I169" s="6" t="str">
        <f aca="false">IF(G169&lt;D169,"più caro",IF(G169&gt;E169,"più economico","in fascia"))</f>
        <v>più caro</v>
      </c>
      <c r="J169" s="8" t="n">
        <f aca="false">IF(G169&lt;D169,(D169-G169)/G169,IF(G169&gt;E169,(E169-G169)/G169,0))</f>
        <v>0.660628019323672</v>
      </c>
    </row>
    <row r="170" customFormat="false" ht="15" hidden="false" customHeight="false" outlineLevel="0" collapsed="false">
      <c r="A170" s="6" t="s">
        <v>434</v>
      </c>
      <c r="B170" s="6" t="s">
        <v>364</v>
      </c>
      <c r="C170" s="6" t="s">
        <v>435</v>
      </c>
      <c r="D170" s="7" t="n">
        <v>11.5</v>
      </c>
      <c r="E170" s="7" t="n">
        <v>11.5</v>
      </c>
      <c r="F170" s="6" t="n">
        <v>4</v>
      </c>
      <c r="G170" s="7" t="n">
        <v>7.79</v>
      </c>
      <c r="H170" s="6" t="s">
        <v>226</v>
      </c>
      <c r="I170" s="6" t="str">
        <f aca="false">IF(G170&lt;D170,"più caro",IF(G170&gt;E170,"più economico","in fascia"))</f>
        <v>più caro</v>
      </c>
      <c r="J170" s="8" t="n">
        <f aca="false">IF(G170&lt;D170,(D170-G170)/G170,IF(G170&gt;E170,(E170-G170)/G170,0))</f>
        <v>0.476251604621309</v>
      </c>
    </row>
    <row r="171" customFormat="false" ht="15" hidden="false" customHeight="false" outlineLevel="0" collapsed="false">
      <c r="A171" s="6" t="s">
        <v>436</v>
      </c>
      <c r="B171" s="6" t="s">
        <v>364</v>
      </c>
      <c r="C171" s="6" t="s">
        <v>437</v>
      </c>
      <c r="D171" s="7" t="n">
        <v>12.5</v>
      </c>
      <c r="E171" s="7" t="n">
        <v>12.5</v>
      </c>
      <c r="F171" s="6" t="n">
        <v>4</v>
      </c>
      <c r="G171" s="7" t="n">
        <v>8.28</v>
      </c>
      <c r="H171" s="6" t="s">
        <v>147</v>
      </c>
      <c r="I171" s="6" t="str">
        <f aca="false">IF(G171&lt;D171,"più caro",IF(G171&gt;E171,"più economico","in fascia"))</f>
        <v>più caro</v>
      </c>
      <c r="J171" s="8" t="n">
        <f aca="false">IF(G171&lt;D171,(D171-G171)/G171,IF(G171&gt;E171,(E171-G171)/G171,0))</f>
        <v>0.509661835748792</v>
      </c>
    </row>
    <row r="172" customFormat="false" ht="15" hidden="false" customHeight="false" outlineLevel="0" collapsed="false">
      <c r="A172" s="6" t="s">
        <v>438</v>
      </c>
      <c r="B172" s="6" t="s">
        <v>364</v>
      </c>
      <c r="C172" s="6" t="s">
        <v>439</v>
      </c>
      <c r="D172" s="7" t="n">
        <v>12.9</v>
      </c>
      <c r="E172" s="7" t="n">
        <v>12.9</v>
      </c>
      <c r="F172" s="6" t="n">
        <v>4</v>
      </c>
      <c r="G172" s="7" t="n">
        <v>8.28</v>
      </c>
      <c r="H172" s="6" t="s">
        <v>147</v>
      </c>
      <c r="I172" s="6" t="str">
        <f aca="false">IF(G172&lt;D172,"più caro",IF(G172&gt;E172,"più economico","in fascia"))</f>
        <v>più caro</v>
      </c>
      <c r="J172" s="8" t="n">
        <f aca="false">IF(G172&lt;D172,(D172-G172)/G172,IF(G172&gt;E172,(E172-G172)/G172,0))</f>
        <v>0.557971014492754</v>
      </c>
    </row>
    <row r="173" customFormat="false" ht="15" hidden="false" customHeight="false" outlineLevel="0" collapsed="false">
      <c r="A173" s="6" t="s">
        <v>440</v>
      </c>
      <c r="B173" s="6" t="s">
        <v>364</v>
      </c>
      <c r="C173" s="6" t="s">
        <v>441</v>
      </c>
      <c r="D173" s="7" t="n">
        <v>13.3</v>
      </c>
      <c r="E173" s="7" t="n">
        <v>13.3</v>
      </c>
      <c r="F173" s="6" t="n">
        <v>4</v>
      </c>
      <c r="G173" s="7" t="n">
        <v>8.28</v>
      </c>
      <c r="H173" s="6" t="s">
        <v>147</v>
      </c>
      <c r="I173" s="6" t="str">
        <f aca="false">IF(G173&lt;D173,"più caro",IF(G173&gt;E173,"più economico","in fascia"))</f>
        <v>più caro</v>
      </c>
      <c r="J173" s="8" t="n">
        <f aca="false">IF(G173&lt;D173,(D173-G173)/G173,IF(G173&gt;E173,(E173-G173)/G173,0))</f>
        <v>0.606280193236715</v>
      </c>
    </row>
    <row r="174" customFormat="false" ht="15" hidden="false" customHeight="false" outlineLevel="0" collapsed="false">
      <c r="A174" s="6" t="s">
        <v>442</v>
      </c>
      <c r="B174" s="6" t="s">
        <v>364</v>
      </c>
      <c r="C174" s="6" t="s">
        <v>443</v>
      </c>
      <c r="D174" s="7" t="n">
        <v>10.9</v>
      </c>
      <c r="E174" s="7" t="n">
        <v>10.9</v>
      </c>
      <c r="F174" s="6" t="n">
        <v>2</v>
      </c>
      <c r="G174" s="7" t="n">
        <v>9.49</v>
      </c>
      <c r="H174" s="6" t="s">
        <v>31</v>
      </c>
      <c r="I174" s="6" t="str">
        <f aca="false">IF(G174&lt;D174,"più caro",IF(G174&gt;E174,"più economico","in fascia"))</f>
        <v>più caro</v>
      </c>
      <c r="J174" s="8" t="n">
        <f aca="false">IF(G174&lt;D174,(D174-G174)/G174,IF(G174&gt;E174,(E174-G174)/G174,0))</f>
        <v>0.148577449947313</v>
      </c>
    </row>
    <row r="175" customFormat="false" ht="15" hidden="false" customHeight="false" outlineLevel="0" collapsed="false">
      <c r="A175" s="6" t="s">
        <v>444</v>
      </c>
      <c r="B175" s="6" t="s">
        <v>364</v>
      </c>
      <c r="C175" s="6" t="s">
        <v>445</v>
      </c>
      <c r="D175" s="7" t="n">
        <v>12.95</v>
      </c>
      <c r="E175" s="7" t="n">
        <v>12.95</v>
      </c>
      <c r="F175" s="6" t="n">
        <v>2</v>
      </c>
      <c r="G175" s="7" t="n">
        <v>9.49</v>
      </c>
      <c r="H175" s="6" t="s">
        <v>31</v>
      </c>
      <c r="I175" s="6" t="str">
        <f aca="false">IF(G175&lt;D175,"più caro",IF(G175&gt;E175,"più economico","in fascia"))</f>
        <v>più caro</v>
      </c>
      <c r="J175" s="8" t="n">
        <f aca="false">IF(G175&lt;D175,(D175-G175)/G175,IF(G175&gt;E175,(E175-G175)/G175,0))</f>
        <v>0.364594309799789</v>
      </c>
    </row>
    <row r="176" customFormat="false" ht="15" hidden="false" customHeight="false" outlineLevel="0" collapsed="false">
      <c r="A176" s="6" t="s">
        <v>446</v>
      </c>
      <c r="B176" s="6" t="s">
        <v>364</v>
      </c>
      <c r="C176" s="6" t="s">
        <v>447</v>
      </c>
      <c r="D176" s="7" t="n">
        <v>13.5</v>
      </c>
      <c r="E176" s="7" t="n">
        <v>13.5</v>
      </c>
      <c r="F176" s="6" t="n">
        <v>2</v>
      </c>
      <c r="G176" s="7" t="n">
        <v>9.49</v>
      </c>
      <c r="H176" s="6" t="s">
        <v>31</v>
      </c>
      <c r="I176" s="6" t="str">
        <f aca="false">IF(G176&lt;D176,"più caro",IF(G176&gt;E176,"più economico","in fascia"))</f>
        <v>più caro</v>
      </c>
      <c r="J176" s="8" t="n">
        <f aca="false">IF(G176&lt;D176,(D176-G176)/G176,IF(G176&gt;E176,(E176-G176)/G176,0))</f>
        <v>0.422550052687039</v>
      </c>
    </row>
    <row r="177" customFormat="false" ht="15" hidden="false" customHeight="false" outlineLevel="0" collapsed="false">
      <c r="A177" s="6" t="s">
        <v>448</v>
      </c>
      <c r="B177" s="6" t="s">
        <v>364</v>
      </c>
      <c r="C177" s="6" t="s">
        <v>449</v>
      </c>
      <c r="D177" s="7" t="n">
        <v>14.5</v>
      </c>
      <c r="E177" s="7" t="n">
        <v>14.5</v>
      </c>
      <c r="F177" s="6" t="n">
        <v>2</v>
      </c>
      <c r="G177" s="7" t="n">
        <v>9.49</v>
      </c>
      <c r="H177" s="6" t="s">
        <v>31</v>
      </c>
      <c r="I177" s="6" t="str">
        <f aca="false">IF(G177&lt;D177,"più caro",IF(G177&gt;E177,"più economico","in fascia"))</f>
        <v>più caro</v>
      </c>
      <c r="J177" s="8" t="n">
        <f aca="false">IF(G177&lt;D177,(D177-G177)/G177,IF(G177&gt;E177,(E177-G177)/G177,0))</f>
        <v>0.527924130663857</v>
      </c>
    </row>
    <row r="178" customFormat="false" ht="15" hidden="false" customHeight="false" outlineLevel="0" collapsed="false">
      <c r="A178" s="6" t="s">
        <v>450</v>
      </c>
      <c r="B178" s="6" t="s">
        <v>364</v>
      </c>
      <c r="C178" s="6" t="s">
        <v>451</v>
      </c>
      <c r="D178" s="7" t="n">
        <v>16.2</v>
      </c>
      <c r="E178" s="7" t="n">
        <v>16.2</v>
      </c>
      <c r="F178" s="6" t="n">
        <v>2</v>
      </c>
      <c r="G178" s="7" t="n">
        <v>9.49</v>
      </c>
      <c r="H178" s="6" t="s">
        <v>31</v>
      </c>
      <c r="I178" s="6" t="str">
        <f aca="false">IF(G178&lt;D178,"più caro",IF(G178&gt;E178,"più economico","in fascia"))</f>
        <v>più caro</v>
      </c>
      <c r="J178" s="8" t="n">
        <f aca="false">IF(G178&lt;D178,(D178-G178)/G178,IF(G178&gt;E178,(E178-G178)/G178,0))</f>
        <v>0.707060063224447</v>
      </c>
    </row>
    <row r="179" customFormat="false" ht="15" hidden="false" customHeight="false" outlineLevel="0" collapsed="false">
      <c r="A179" s="6" t="s">
        <v>452</v>
      </c>
      <c r="B179" s="6" t="s">
        <v>364</v>
      </c>
      <c r="C179" s="6" t="s">
        <v>453</v>
      </c>
      <c r="D179" s="7" t="n">
        <v>16.2</v>
      </c>
      <c r="E179" s="7" t="n">
        <v>16.2</v>
      </c>
      <c r="F179" s="6" t="n">
        <v>2</v>
      </c>
      <c r="G179" s="7" t="n">
        <v>9.49</v>
      </c>
      <c r="H179" s="6" t="s">
        <v>31</v>
      </c>
      <c r="I179" s="6" t="str">
        <f aca="false">IF(G179&lt;D179,"più caro",IF(G179&gt;E179,"più economico","in fascia"))</f>
        <v>più caro</v>
      </c>
      <c r="J179" s="8" t="n">
        <f aca="false">IF(G179&lt;D179,(D179-G179)/G179,IF(G179&gt;E179,(E179-G179)/G179,0))</f>
        <v>0.707060063224447</v>
      </c>
    </row>
    <row r="180" customFormat="false" ht="15" hidden="false" customHeight="false" outlineLevel="0" collapsed="false">
      <c r="A180" s="6" t="s">
        <v>454</v>
      </c>
      <c r="B180" s="6" t="s">
        <v>364</v>
      </c>
      <c r="C180" s="6" t="s">
        <v>455</v>
      </c>
      <c r="D180" s="7" t="n">
        <v>10.5</v>
      </c>
      <c r="E180" s="7" t="n">
        <v>10.5</v>
      </c>
      <c r="F180" s="6" t="n">
        <v>3</v>
      </c>
      <c r="G180" s="7" t="n">
        <v>8.8</v>
      </c>
      <c r="H180" s="6" t="s">
        <v>226</v>
      </c>
      <c r="I180" s="6" t="str">
        <f aca="false">IF(G180&lt;D180,"più caro",IF(G180&gt;E180,"più economico","in fascia"))</f>
        <v>più caro</v>
      </c>
      <c r="J180" s="8" t="n">
        <f aca="false">IF(G180&lt;D180,(D180-G180)/G180,IF(G180&gt;E180,(E180-G180)/G180,0))</f>
        <v>0.193181818181818</v>
      </c>
    </row>
    <row r="181" customFormat="false" ht="15" hidden="false" customHeight="false" outlineLevel="0" collapsed="false">
      <c r="A181" s="6" t="s">
        <v>456</v>
      </c>
      <c r="B181" s="6" t="s">
        <v>364</v>
      </c>
      <c r="C181" s="6" t="s">
        <v>457</v>
      </c>
      <c r="D181" s="7" t="n">
        <v>13.5</v>
      </c>
      <c r="E181" s="7" t="n">
        <v>13.5</v>
      </c>
      <c r="F181" s="6" t="n">
        <v>3</v>
      </c>
      <c r="G181" s="7" t="n">
        <v>8.99</v>
      </c>
      <c r="H181" s="6" t="s">
        <v>31</v>
      </c>
      <c r="I181" s="6" t="str">
        <f aca="false">IF(G181&lt;D181,"più caro",IF(G181&gt;E181,"più economico","in fascia"))</f>
        <v>più caro</v>
      </c>
      <c r="J181" s="8" t="n">
        <f aca="false">IF(G181&lt;D181,(D181-G181)/G181,IF(G181&gt;E181,(E181-G181)/G181,0))</f>
        <v>0.501668520578421</v>
      </c>
    </row>
    <row r="182" customFormat="false" ht="15" hidden="false" customHeight="false" outlineLevel="0" collapsed="false">
      <c r="A182" s="6" t="s">
        <v>458</v>
      </c>
      <c r="B182" s="6" t="s">
        <v>364</v>
      </c>
      <c r="C182" s="6" t="s">
        <v>459</v>
      </c>
      <c r="D182" s="7" t="n">
        <v>15.9</v>
      </c>
      <c r="E182" s="7" t="n">
        <v>15.9</v>
      </c>
      <c r="F182" s="6" t="n">
        <v>3</v>
      </c>
      <c r="G182" s="7" t="n">
        <v>8.99</v>
      </c>
      <c r="H182" s="6" t="s">
        <v>31</v>
      </c>
      <c r="I182" s="6" t="str">
        <f aca="false">IF(G182&lt;D182,"più caro",IF(G182&gt;E182,"più economico","in fascia"))</f>
        <v>più caro</v>
      </c>
      <c r="J182" s="8" t="n">
        <f aca="false">IF(G182&lt;D182,(D182-G182)/G182,IF(G182&gt;E182,(E182-G182)/G182,0))</f>
        <v>0.768631813125695</v>
      </c>
    </row>
    <row r="183" customFormat="false" ht="15" hidden="false" customHeight="false" outlineLevel="0" collapsed="false">
      <c r="A183" s="6" t="s">
        <v>460</v>
      </c>
      <c r="B183" s="6" t="s">
        <v>364</v>
      </c>
      <c r="C183" s="6" t="s">
        <v>461</v>
      </c>
      <c r="D183" s="7" t="n">
        <v>10.5</v>
      </c>
      <c r="E183" s="7" t="n">
        <v>10.5</v>
      </c>
      <c r="F183" s="6" t="n">
        <v>3</v>
      </c>
      <c r="G183" s="7" t="n">
        <v>8.8</v>
      </c>
      <c r="H183" s="6" t="s">
        <v>226</v>
      </c>
      <c r="I183" s="6" t="str">
        <f aca="false">IF(G183&lt;D183,"più caro",IF(G183&gt;E183,"più economico","in fascia"))</f>
        <v>più caro</v>
      </c>
      <c r="J183" s="8" t="n">
        <f aca="false">IF(G183&lt;D183,(D183-G183)/G183,IF(G183&gt;E183,(E183-G183)/G183,0))</f>
        <v>0.193181818181818</v>
      </c>
    </row>
    <row r="184" customFormat="false" ht="15" hidden="false" customHeight="false" outlineLevel="0" collapsed="false">
      <c r="A184" s="6" t="s">
        <v>462</v>
      </c>
      <c r="B184" s="6" t="s">
        <v>364</v>
      </c>
      <c r="C184" s="6" t="s">
        <v>463</v>
      </c>
      <c r="D184" s="7" t="n">
        <v>12.95</v>
      </c>
      <c r="E184" s="7" t="n">
        <v>12.95</v>
      </c>
      <c r="F184" s="6" t="n">
        <v>3</v>
      </c>
      <c r="G184" s="7" t="n">
        <v>8.99</v>
      </c>
      <c r="H184" s="6" t="s">
        <v>31</v>
      </c>
      <c r="I184" s="6" t="str">
        <f aca="false">IF(G184&lt;D184,"più caro",IF(G184&gt;E184,"più economico","in fascia"))</f>
        <v>più caro</v>
      </c>
      <c r="J184" s="8" t="n">
        <f aca="false">IF(G184&lt;D184,(D184-G184)/G184,IF(G184&gt;E184,(E184-G184)/G184,0))</f>
        <v>0.440489432703003</v>
      </c>
    </row>
    <row r="185" customFormat="false" ht="15" hidden="false" customHeight="false" outlineLevel="0" collapsed="false">
      <c r="A185" s="6" t="s">
        <v>464</v>
      </c>
      <c r="B185" s="6" t="s">
        <v>364</v>
      </c>
      <c r="C185" s="6" t="s">
        <v>465</v>
      </c>
      <c r="D185" s="7" t="n">
        <v>152.98</v>
      </c>
      <c r="E185" s="7" t="n">
        <v>152.98</v>
      </c>
      <c r="F185" s="6" t="n">
        <v>1</v>
      </c>
      <c r="G185" s="7" t="n">
        <v>113.5</v>
      </c>
      <c r="H185" s="6" t="s">
        <v>31</v>
      </c>
      <c r="I185" s="6" t="str">
        <f aca="false">IF(G185&lt;D185,"più caro",IF(G185&gt;E185,"più economico","in fascia"))</f>
        <v>più caro</v>
      </c>
      <c r="J185" s="8" t="n">
        <f aca="false">IF(G185&lt;D185,(D185-G185)/G185,IF(G185&gt;E185,(E185-G185)/G185,0))</f>
        <v>0.34784140969163</v>
      </c>
    </row>
    <row r="186" customFormat="false" ht="15" hidden="false" customHeight="false" outlineLevel="0" collapsed="false">
      <c r="A186" s="6" t="s">
        <v>466</v>
      </c>
      <c r="B186" s="6" t="s">
        <v>364</v>
      </c>
      <c r="C186" s="6" t="s">
        <v>467</v>
      </c>
      <c r="D186" s="7" t="n">
        <v>13.48</v>
      </c>
      <c r="E186" s="7" t="n">
        <v>13.48</v>
      </c>
      <c r="F186" s="6" t="n">
        <v>2</v>
      </c>
      <c r="G186" s="7" t="n">
        <v>12.6</v>
      </c>
      <c r="H186" s="6" t="s">
        <v>31</v>
      </c>
      <c r="I186" s="6" t="str">
        <f aca="false">IF(G186&lt;D186,"più caro",IF(G186&gt;E186,"più economico","in fascia"))</f>
        <v>più caro</v>
      </c>
      <c r="J186" s="8" t="n">
        <f aca="false">IF(G186&lt;D186,(D186-G186)/G186,IF(G186&gt;E186,(E186-G186)/G186,0))</f>
        <v>0.0698412698412699</v>
      </c>
    </row>
    <row r="187" customFormat="false" ht="15" hidden="false" customHeight="false" outlineLevel="0" collapsed="false">
      <c r="A187" s="6" t="s">
        <v>468</v>
      </c>
      <c r="B187" s="6" t="s">
        <v>364</v>
      </c>
      <c r="C187" s="6" t="s">
        <v>469</v>
      </c>
      <c r="D187" s="7" t="n">
        <v>7.99</v>
      </c>
      <c r="E187" s="7" t="n">
        <v>7.99</v>
      </c>
      <c r="F187" s="6" t="n">
        <v>1</v>
      </c>
      <c r="G187" s="7" t="n">
        <v>6.95</v>
      </c>
      <c r="H187" s="6" t="s">
        <v>31</v>
      </c>
      <c r="I187" s="6" t="str">
        <f aca="false">IF(G187&lt;D187,"più caro",IF(G187&gt;E187,"più economico","in fascia"))</f>
        <v>più caro</v>
      </c>
      <c r="J187" s="8" t="n">
        <f aca="false">IF(G187&lt;D187,(D187-G187)/G187,IF(G187&gt;E187,(E187-G187)/G187,0))</f>
        <v>0.149640287769784</v>
      </c>
    </row>
    <row r="188" customFormat="false" ht="15" hidden="false" customHeight="false" outlineLevel="0" collapsed="false">
      <c r="A188" s="6" t="s">
        <v>470</v>
      </c>
      <c r="B188" s="6" t="s">
        <v>364</v>
      </c>
      <c r="C188" s="6" t="s">
        <v>471</v>
      </c>
      <c r="D188" s="7" t="n">
        <v>7.18</v>
      </c>
      <c r="E188" s="7" t="n">
        <v>7.18</v>
      </c>
      <c r="F188" s="6" t="n">
        <v>3</v>
      </c>
      <c r="G188" s="7" t="n">
        <v>4.86</v>
      </c>
      <c r="H188" s="6" t="s">
        <v>226</v>
      </c>
      <c r="I188" s="6" t="str">
        <f aca="false">IF(G188&lt;D188,"più caro",IF(G188&gt;E188,"più economico","in fascia"))</f>
        <v>più caro</v>
      </c>
      <c r="J188" s="8" t="n">
        <f aca="false">IF(G188&lt;D188,(D188-G188)/G188,IF(G188&gt;E188,(E188-G188)/G188,0))</f>
        <v>0.477366255144033</v>
      </c>
    </row>
    <row r="189" customFormat="false" ht="15" hidden="false" customHeight="false" outlineLevel="0" collapsed="false">
      <c r="A189" s="6" t="s">
        <v>473</v>
      </c>
      <c r="B189" s="6" t="s">
        <v>364</v>
      </c>
      <c r="C189" s="6" t="s">
        <v>474</v>
      </c>
      <c r="D189" s="7" t="n">
        <v>9.45</v>
      </c>
      <c r="E189" s="7" t="n">
        <v>9.45</v>
      </c>
      <c r="F189" s="6" t="n">
        <v>3</v>
      </c>
      <c r="G189" s="7" t="n">
        <v>5.99</v>
      </c>
      <c r="H189" s="6" t="s">
        <v>226</v>
      </c>
      <c r="I189" s="6" t="str">
        <f aca="false">IF(G189&lt;D189,"più caro",IF(G189&gt;E189,"più economico","in fascia"))</f>
        <v>più caro</v>
      </c>
      <c r="J189" s="8" t="n">
        <f aca="false">IF(G189&lt;D189,(D189-G189)/G189,IF(G189&gt;E189,(E189-G189)/G189,0))</f>
        <v>0.57762938230384</v>
      </c>
    </row>
    <row r="190" customFormat="false" ht="15" hidden="false" customHeight="false" outlineLevel="0" collapsed="false">
      <c r="A190" s="6" t="s">
        <v>475</v>
      </c>
      <c r="B190" s="6" t="s">
        <v>364</v>
      </c>
      <c r="C190" s="6" t="s">
        <v>476</v>
      </c>
      <c r="D190" s="7" t="n">
        <v>8.98</v>
      </c>
      <c r="E190" s="7" t="n">
        <v>8.98</v>
      </c>
      <c r="F190" s="6" t="n">
        <v>3</v>
      </c>
      <c r="G190" s="7" t="n">
        <v>6.6</v>
      </c>
      <c r="H190" s="6" t="s">
        <v>226</v>
      </c>
      <c r="I190" s="6" t="str">
        <f aca="false">IF(G190&lt;D190,"più caro",IF(G190&gt;E190,"più economico","in fascia"))</f>
        <v>più caro</v>
      </c>
      <c r="J190" s="8" t="n">
        <f aca="false">IF(G190&lt;D190,(D190-G190)/G190,IF(G190&gt;E190,(E190-G190)/G190,0))</f>
        <v>0.360606060606061</v>
      </c>
    </row>
    <row r="191" customFormat="false" ht="15" hidden="false" customHeight="false" outlineLevel="0" collapsed="false">
      <c r="A191" s="6" t="s">
        <v>477</v>
      </c>
      <c r="B191" s="6" t="s">
        <v>364</v>
      </c>
      <c r="C191" s="6" t="s">
        <v>478</v>
      </c>
      <c r="D191" s="7" t="n">
        <v>10.78</v>
      </c>
      <c r="E191" s="7" t="n">
        <v>10.78</v>
      </c>
      <c r="F191" s="6" t="n">
        <v>3</v>
      </c>
      <c r="G191" s="7" t="n">
        <v>6.99</v>
      </c>
      <c r="H191" s="6" t="s">
        <v>31</v>
      </c>
      <c r="I191" s="6" t="str">
        <f aca="false">IF(G191&lt;D191,"più caro",IF(G191&gt;E191,"più economico","in fascia"))</f>
        <v>più caro</v>
      </c>
      <c r="J191" s="8" t="n">
        <f aca="false">IF(G191&lt;D191,(D191-G191)/G191,IF(G191&gt;E191,(E191-G191)/G191,0))</f>
        <v>0.542203147353362</v>
      </c>
    </row>
    <row r="192" customFormat="false" ht="15" hidden="false" customHeight="false" outlineLevel="0" collapsed="false">
      <c r="A192" s="6" t="s">
        <v>480</v>
      </c>
      <c r="B192" s="6" t="s">
        <v>364</v>
      </c>
      <c r="C192" s="6" t="s">
        <v>481</v>
      </c>
      <c r="D192" s="7" t="n">
        <v>10.37</v>
      </c>
      <c r="E192" s="7" t="n">
        <v>10.37</v>
      </c>
      <c r="F192" s="6" t="n">
        <v>4</v>
      </c>
      <c r="G192" s="7" t="n">
        <v>8.44</v>
      </c>
      <c r="H192" s="6" t="s">
        <v>31</v>
      </c>
      <c r="I192" s="6" t="str">
        <f aca="false">IF(G192&lt;D192,"più caro",IF(G192&gt;E192,"più economico","in fascia"))</f>
        <v>più caro</v>
      </c>
      <c r="J192" s="8" t="n">
        <f aca="false">IF(G192&lt;D192,(D192-G192)/G192,IF(G192&gt;E192,(E192-G192)/G192,0))</f>
        <v>0.228672985781991</v>
      </c>
    </row>
    <row r="193" customFormat="false" ht="15" hidden="false" customHeight="false" outlineLevel="0" collapsed="false">
      <c r="A193" s="6" t="s">
        <v>482</v>
      </c>
      <c r="B193" s="6" t="s">
        <v>364</v>
      </c>
      <c r="C193" s="6" t="s">
        <v>483</v>
      </c>
      <c r="D193" s="7" t="n">
        <v>9.5</v>
      </c>
      <c r="E193" s="7" t="n">
        <v>9.5</v>
      </c>
      <c r="F193" s="6" t="n">
        <v>4</v>
      </c>
      <c r="G193" s="7" t="n">
        <v>8.44</v>
      </c>
      <c r="H193" s="6" t="s">
        <v>31</v>
      </c>
      <c r="I193" s="6" t="str">
        <f aca="false">IF(G193&lt;D193,"più caro",IF(G193&gt;E193,"più economico","in fascia"))</f>
        <v>più caro</v>
      </c>
      <c r="J193" s="8" t="n">
        <f aca="false">IF(G193&lt;D193,(D193-G193)/G193,IF(G193&gt;E193,(E193-G193)/G193,0))</f>
        <v>0.125592417061611</v>
      </c>
    </row>
    <row r="194" customFormat="false" ht="15" hidden="false" customHeight="false" outlineLevel="0" collapsed="false">
      <c r="A194" s="6" t="s">
        <v>484</v>
      </c>
      <c r="B194" s="6" t="s">
        <v>364</v>
      </c>
      <c r="C194" s="6" t="s">
        <v>485</v>
      </c>
      <c r="D194" s="7" t="n">
        <v>10.5</v>
      </c>
      <c r="E194" s="7" t="n">
        <v>10.5</v>
      </c>
      <c r="F194" s="6" t="n">
        <v>3</v>
      </c>
      <c r="G194" s="7" t="n">
        <v>8.69</v>
      </c>
      <c r="H194" s="6" t="s">
        <v>31</v>
      </c>
      <c r="I194" s="6" t="str">
        <f aca="false">IF(G194&lt;D194,"più caro",IF(G194&gt;E194,"più economico","in fascia"))</f>
        <v>più caro</v>
      </c>
      <c r="J194" s="8" t="n">
        <f aca="false">IF(G194&lt;D194,(D194-G194)/G194,IF(G194&gt;E194,(E194-G194)/G194,0))</f>
        <v>0.208285385500575</v>
      </c>
    </row>
    <row r="195" customFormat="false" ht="15" hidden="false" customHeight="false" outlineLevel="0" collapsed="false">
      <c r="A195" s="6" t="s">
        <v>486</v>
      </c>
      <c r="B195" s="6" t="s">
        <v>364</v>
      </c>
      <c r="C195" s="6" t="s">
        <v>487</v>
      </c>
      <c r="D195" s="7" t="n">
        <v>9.5</v>
      </c>
      <c r="E195" s="7" t="n">
        <v>9.5</v>
      </c>
      <c r="F195" s="6" t="n">
        <v>4</v>
      </c>
      <c r="G195" s="7" t="n">
        <v>8.44</v>
      </c>
      <c r="H195" s="6" t="s">
        <v>31</v>
      </c>
      <c r="I195" s="6" t="str">
        <f aca="false">IF(G195&lt;D195,"più caro",IF(G195&gt;E195,"più economico","in fascia"))</f>
        <v>più caro</v>
      </c>
      <c r="J195" s="8" t="n">
        <f aca="false">IF(G195&lt;D195,(D195-G195)/G195,IF(G195&gt;E195,(E195-G195)/G195,0))</f>
        <v>0.125592417061611</v>
      </c>
    </row>
    <row r="196" customFormat="false" ht="15" hidden="false" customHeight="false" outlineLevel="0" collapsed="false">
      <c r="A196" s="6" t="s">
        <v>488</v>
      </c>
      <c r="B196" s="6" t="s">
        <v>364</v>
      </c>
      <c r="C196" s="6" t="s">
        <v>489</v>
      </c>
      <c r="D196" s="7" t="n">
        <v>2.95</v>
      </c>
      <c r="E196" s="7" t="n">
        <v>3.8</v>
      </c>
      <c r="F196" s="6" t="n">
        <v>4</v>
      </c>
      <c r="G196" s="7" t="n">
        <v>1.85</v>
      </c>
      <c r="H196" s="6" t="s">
        <v>31</v>
      </c>
      <c r="I196" s="6" t="str">
        <f aca="false">IF(G196&lt;D196,"più caro",IF(G196&gt;E196,"più economico","in fascia"))</f>
        <v>più caro</v>
      </c>
      <c r="J196" s="8" t="n">
        <f aca="false">IF(G196&lt;D196,(D196-G196)/G196,IF(G196&gt;E196,(E196-G196)/G196,0))</f>
        <v>0.594594594594595</v>
      </c>
    </row>
    <row r="197" customFormat="false" ht="15" hidden="false" customHeight="false" outlineLevel="0" collapsed="false">
      <c r="A197" s="6" t="s">
        <v>490</v>
      </c>
      <c r="B197" s="6" t="s">
        <v>364</v>
      </c>
      <c r="C197" s="6" t="s">
        <v>491</v>
      </c>
      <c r="D197" s="7" t="n">
        <v>5.4</v>
      </c>
      <c r="E197" s="7" t="n">
        <v>5.4</v>
      </c>
      <c r="F197" s="6" t="n">
        <v>4</v>
      </c>
      <c r="G197" s="7" t="n">
        <v>1.85</v>
      </c>
      <c r="H197" s="6" t="s">
        <v>31</v>
      </c>
      <c r="I197" s="6" t="str">
        <f aca="false">IF(G197&lt;D197,"più caro",IF(G197&gt;E197,"più economico","in fascia"))</f>
        <v>più caro</v>
      </c>
      <c r="J197" s="8" t="n">
        <f aca="false">IF(G197&lt;D197,(D197-G197)/G197,IF(G197&gt;E197,(E197-G197)/G197,0))</f>
        <v>1.91891891891892</v>
      </c>
    </row>
    <row r="198" customFormat="false" ht="15" hidden="false" customHeight="false" outlineLevel="0" collapsed="false">
      <c r="A198" s="6" t="s">
        <v>492</v>
      </c>
      <c r="B198" s="6" t="s">
        <v>364</v>
      </c>
      <c r="C198" s="6" t="s">
        <v>493</v>
      </c>
      <c r="D198" s="7" t="n">
        <v>8.98</v>
      </c>
      <c r="E198" s="7" t="n">
        <v>8.98</v>
      </c>
      <c r="F198" s="6" t="n">
        <v>1</v>
      </c>
      <c r="G198" s="7" t="n">
        <v>7.99</v>
      </c>
      <c r="H198" s="6" t="s">
        <v>31</v>
      </c>
      <c r="I198" s="6" t="str">
        <f aca="false">IF(G198&lt;D198,"più caro",IF(G198&gt;E198,"più economico","in fascia"))</f>
        <v>più caro</v>
      </c>
      <c r="J198" s="8" t="n">
        <f aca="false">IF(G198&lt;D198,(D198-G198)/G198,IF(G198&gt;E198,(E198-G198)/G198,0))</f>
        <v>0.123904881101377</v>
      </c>
    </row>
    <row r="199" customFormat="false" ht="15" hidden="false" customHeight="false" outlineLevel="0" collapsed="false">
      <c r="A199" s="6" t="s">
        <v>494</v>
      </c>
      <c r="B199" s="6" t="s">
        <v>364</v>
      </c>
      <c r="C199" s="6" t="s">
        <v>495</v>
      </c>
      <c r="D199" s="7" t="n">
        <v>6.7</v>
      </c>
      <c r="E199" s="7" t="n">
        <v>6.7</v>
      </c>
      <c r="F199" s="6" t="n">
        <v>3</v>
      </c>
      <c r="G199" s="7" t="n">
        <v>5.93</v>
      </c>
      <c r="H199" s="6" t="s">
        <v>226</v>
      </c>
      <c r="I199" s="6" t="str">
        <f aca="false">IF(G199&lt;D199,"più caro",IF(G199&gt;E199,"più economico","in fascia"))</f>
        <v>più caro</v>
      </c>
      <c r="J199" s="8" t="n">
        <f aca="false">IF(G199&lt;D199,(D199-G199)/G199,IF(G199&gt;E199,(E199-G199)/G199,0))</f>
        <v>0.129848229342327</v>
      </c>
    </row>
    <row r="200" customFormat="false" ht="15" hidden="false" customHeight="false" outlineLevel="0" collapsed="false">
      <c r="A200" s="6" t="s">
        <v>496</v>
      </c>
      <c r="B200" s="6" t="s">
        <v>364</v>
      </c>
      <c r="C200" s="6" t="s">
        <v>497</v>
      </c>
      <c r="D200" s="7" t="n">
        <v>7.1</v>
      </c>
      <c r="E200" s="7" t="n">
        <v>7.1</v>
      </c>
      <c r="F200" s="6" t="n">
        <v>3</v>
      </c>
      <c r="G200" s="7" t="n">
        <v>5.93</v>
      </c>
      <c r="H200" s="6" t="s">
        <v>226</v>
      </c>
      <c r="I200" s="6" t="str">
        <f aca="false">IF(G200&lt;D200,"più caro",IF(G200&gt;E200,"più economico","in fascia"))</f>
        <v>più caro</v>
      </c>
      <c r="J200" s="8" t="n">
        <f aca="false">IF(G200&lt;D200,(D200-G200)/G200,IF(G200&gt;E200,(E200-G200)/G200,0))</f>
        <v>0.197301854974705</v>
      </c>
    </row>
    <row r="201" customFormat="false" ht="15" hidden="false" customHeight="false" outlineLevel="0" collapsed="false">
      <c r="A201" s="6" t="s">
        <v>498</v>
      </c>
      <c r="B201" s="6" t="s">
        <v>364</v>
      </c>
      <c r="C201" s="6" t="s">
        <v>499</v>
      </c>
      <c r="D201" s="7" t="n">
        <v>7.3</v>
      </c>
      <c r="E201" s="7" t="n">
        <v>7.3</v>
      </c>
      <c r="F201" s="6" t="n">
        <v>3</v>
      </c>
      <c r="G201" s="7" t="n">
        <v>6</v>
      </c>
      <c r="H201" s="6" t="s">
        <v>226</v>
      </c>
      <c r="I201" s="6" t="str">
        <f aca="false">IF(G201&lt;D201,"più caro",IF(G201&gt;E201,"più economico","in fascia"))</f>
        <v>più caro</v>
      </c>
      <c r="J201" s="8" t="n">
        <f aca="false">IF(G201&lt;D201,(D201-G201)/G201,IF(G201&gt;E201,(E201-G201)/G201,0))</f>
        <v>0.216666666666667</v>
      </c>
    </row>
    <row r="202" customFormat="false" ht="15" hidden="false" customHeight="false" outlineLevel="0" collapsed="false">
      <c r="A202" s="6" t="s">
        <v>500</v>
      </c>
      <c r="B202" s="6" t="s">
        <v>364</v>
      </c>
      <c r="C202" s="6" t="s">
        <v>501</v>
      </c>
      <c r="D202" s="7" t="n">
        <v>8.1</v>
      </c>
      <c r="E202" s="7" t="n">
        <v>8.1</v>
      </c>
      <c r="F202" s="6" t="n">
        <v>1</v>
      </c>
      <c r="G202" s="7" t="n">
        <v>7.69</v>
      </c>
      <c r="H202" s="6" t="s">
        <v>31</v>
      </c>
      <c r="I202" s="6" t="str">
        <f aca="false">IF(G202&lt;D202,"più caro",IF(G202&gt;E202,"più economico","in fascia"))</f>
        <v>più caro</v>
      </c>
      <c r="J202" s="8" t="n">
        <f aca="false">IF(G202&lt;D202,(D202-G202)/G202,IF(G202&gt;E202,(E202-G202)/G202,0))</f>
        <v>0.0533159947984394</v>
      </c>
    </row>
    <row r="203" customFormat="false" ht="15" hidden="false" customHeight="false" outlineLevel="0" collapsed="false">
      <c r="A203" s="6" t="s">
        <v>502</v>
      </c>
      <c r="B203" s="6" t="s">
        <v>364</v>
      </c>
      <c r="C203" s="6" t="s">
        <v>503</v>
      </c>
      <c r="D203" s="7" t="n">
        <v>7.3</v>
      </c>
      <c r="E203" s="7" t="n">
        <v>7.3</v>
      </c>
      <c r="F203" s="6" t="n">
        <v>3</v>
      </c>
      <c r="G203" s="7" t="n">
        <v>6.39</v>
      </c>
      <c r="H203" s="6" t="s">
        <v>226</v>
      </c>
      <c r="I203" s="6" t="str">
        <f aca="false">IF(G203&lt;D203,"più caro",IF(G203&gt;E203,"più economico","in fascia"))</f>
        <v>più caro</v>
      </c>
      <c r="J203" s="8" t="n">
        <f aca="false">IF(G203&lt;D203,(D203-G203)/G203,IF(G203&gt;E203,(E203-G203)/G203,0))</f>
        <v>0.142410015649452</v>
      </c>
    </row>
    <row r="204" customFormat="false" ht="15" hidden="false" customHeight="false" outlineLevel="0" collapsed="false">
      <c r="A204" s="6" t="s">
        <v>504</v>
      </c>
      <c r="B204" s="6" t="s">
        <v>364</v>
      </c>
      <c r="C204" s="6" t="s">
        <v>505</v>
      </c>
      <c r="D204" s="7" t="n">
        <v>8.5</v>
      </c>
      <c r="E204" s="7" t="n">
        <v>8.5</v>
      </c>
      <c r="F204" s="6" t="n">
        <v>3</v>
      </c>
      <c r="G204" s="7" t="n">
        <v>6.79</v>
      </c>
      <c r="H204" s="6" t="s">
        <v>31</v>
      </c>
      <c r="I204" s="6" t="str">
        <f aca="false">IF(G204&lt;D204,"più caro",IF(G204&gt;E204,"più economico","in fascia"))</f>
        <v>più caro</v>
      </c>
      <c r="J204" s="8" t="n">
        <f aca="false">IF(G204&lt;D204,(D204-G204)/G204,IF(G204&gt;E204,(E204-G204)/G204,0))</f>
        <v>0.251840942562592</v>
      </c>
    </row>
    <row r="205" customFormat="false" ht="15" hidden="false" customHeight="false" outlineLevel="0" collapsed="false">
      <c r="A205" s="6" t="s">
        <v>506</v>
      </c>
      <c r="B205" s="6" t="s">
        <v>364</v>
      </c>
      <c r="C205" s="6" t="s">
        <v>507</v>
      </c>
      <c r="D205" s="7" t="n">
        <v>8.98</v>
      </c>
      <c r="E205" s="7" t="n">
        <v>8.98</v>
      </c>
      <c r="F205" s="6" t="n">
        <v>3</v>
      </c>
      <c r="G205" s="7" t="n">
        <v>6.79</v>
      </c>
      <c r="H205" s="6" t="s">
        <v>31</v>
      </c>
      <c r="I205" s="6" t="str">
        <f aca="false">IF(G205&lt;D205,"più caro",IF(G205&gt;E205,"più economico","in fascia"))</f>
        <v>più caro</v>
      </c>
      <c r="J205" s="8" t="n">
        <f aca="false">IF(G205&lt;D205,(D205-G205)/G205,IF(G205&gt;E205,(E205-G205)/G205,0))</f>
        <v>0.322533136966127</v>
      </c>
    </row>
    <row r="206" customFormat="false" ht="15" hidden="false" customHeight="false" outlineLevel="0" collapsed="false">
      <c r="A206" s="6" t="s">
        <v>508</v>
      </c>
      <c r="B206" s="6" t="s">
        <v>364</v>
      </c>
      <c r="C206" s="6" t="s">
        <v>509</v>
      </c>
      <c r="D206" s="7" t="n">
        <v>1.15</v>
      </c>
      <c r="E206" s="7" t="n">
        <v>1.15</v>
      </c>
      <c r="F206" s="6" t="n">
        <v>1</v>
      </c>
      <c r="G206" s="7" t="n">
        <v>1.2</v>
      </c>
      <c r="H206" s="6" t="s">
        <v>31</v>
      </c>
      <c r="I206" s="6" t="str">
        <f aca="false">IF(G206&lt;D206,"più caro",IF(G206&gt;E206,"più economico","in fascia"))</f>
        <v>più economico</v>
      </c>
      <c r="J206" s="8" t="n">
        <f aca="false">IF(G206&lt;D206,(D206-G206)/G206,IF(G206&gt;E206,(E206-G206)/G206,0))</f>
        <v>-0.0416666666666667</v>
      </c>
    </row>
    <row r="207" customFormat="false" ht="15" hidden="false" customHeight="false" outlineLevel="0" collapsed="false">
      <c r="A207" s="6" t="s">
        <v>511</v>
      </c>
      <c r="B207" s="6" t="s">
        <v>364</v>
      </c>
      <c r="C207" s="6" t="s">
        <v>512</v>
      </c>
      <c r="D207" s="7" t="n">
        <v>23.85</v>
      </c>
      <c r="E207" s="7" t="n">
        <v>36</v>
      </c>
      <c r="F207" s="6" t="n">
        <v>1</v>
      </c>
      <c r="G207" s="7" t="n">
        <v>23.8</v>
      </c>
      <c r="H207" s="6" t="s">
        <v>31</v>
      </c>
      <c r="I207" s="6" t="str">
        <f aca="false">IF(G207&lt;D207,"più caro",IF(G207&gt;E207,"più economico","in fascia"))</f>
        <v>più caro</v>
      </c>
      <c r="J207" s="8" t="n">
        <f aca="false">IF(G207&lt;D207,(D207-G207)/G207,IF(G207&gt;E207,(E207-G207)/G207,0))</f>
        <v>0.00210084033613448</v>
      </c>
    </row>
    <row r="208" customFormat="false" ht="15" hidden="false" customHeight="false" outlineLevel="0" collapsed="false">
      <c r="A208" s="6" t="s">
        <v>514</v>
      </c>
      <c r="B208" s="6" t="s">
        <v>364</v>
      </c>
      <c r="C208" s="6" t="s">
        <v>515</v>
      </c>
      <c r="D208" s="7" t="n">
        <v>7.5</v>
      </c>
      <c r="E208" s="7" t="n">
        <v>7.5</v>
      </c>
      <c r="F208" s="6" t="n">
        <v>3</v>
      </c>
      <c r="G208" s="7" t="n">
        <v>2.89</v>
      </c>
      <c r="H208" s="6" t="s">
        <v>31</v>
      </c>
      <c r="I208" s="6" t="str">
        <f aca="false">IF(G208&lt;D208,"più caro",IF(G208&gt;E208,"più economico","in fascia"))</f>
        <v>più caro</v>
      </c>
      <c r="J208" s="8" t="n">
        <f aca="false">IF(G208&lt;D208,(D208-G208)/G208,IF(G208&gt;E208,(E208-G208)/G208,0))</f>
        <v>1.59515570934256</v>
      </c>
    </row>
    <row r="209" customFormat="false" ht="15" hidden="false" customHeight="false" outlineLevel="0" collapsed="false">
      <c r="A209" s="6" t="s">
        <v>516</v>
      </c>
      <c r="B209" s="6" t="s">
        <v>364</v>
      </c>
      <c r="C209" s="6" t="s">
        <v>517</v>
      </c>
      <c r="D209" s="7" t="n">
        <v>7.2</v>
      </c>
      <c r="E209" s="7" t="n">
        <v>7.2</v>
      </c>
      <c r="F209" s="6" t="n">
        <v>2</v>
      </c>
      <c r="G209" s="7" t="n">
        <v>3.49</v>
      </c>
      <c r="H209" s="6" t="s">
        <v>39</v>
      </c>
      <c r="I209" s="6" t="str">
        <f aca="false">IF(G209&lt;D209,"più caro",IF(G209&gt;E209,"più economico","in fascia"))</f>
        <v>più caro</v>
      </c>
      <c r="J209" s="8" t="n">
        <f aca="false">IF(G209&lt;D209,(D209-G209)/G209,IF(G209&gt;E209,(E209-G209)/G209,0))</f>
        <v>1.06303724928367</v>
      </c>
    </row>
    <row r="210" customFormat="false" ht="15" hidden="false" customHeight="false" outlineLevel="0" collapsed="false">
      <c r="A210" s="6" t="s">
        <v>518</v>
      </c>
      <c r="B210" s="6" t="s">
        <v>364</v>
      </c>
      <c r="C210" s="6" t="s">
        <v>519</v>
      </c>
      <c r="D210" s="7" t="n">
        <v>17.98</v>
      </c>
      <c r="E210" s="7" t="n">
        <v>22.5</v>
      </c>
      <c r="F210" s="6" t="n">
        <v>1</v>
      </c>
      <c r="G210" s="7" t="n">
        <v>19.9</v>
      </c>
      <c r="H210" s="6" t="s">
        <v>147</v>
      </c>
      <c r="I210" s="6" t="str">
        <f aca="false">IF(G210&lt;D210,"più caro",IF(G210&gt;E210,"più economico","in fascia"))</f>
        <v>in fascia</v>
      </c>
      <c r="J210" s="8" t="n">
        <f aca="false">IF(G210&lt;D210,(D210-G210)/G210,IF(G210&gt;E210,(E210-G210)/G210,0))</f>
        <v>0</v>
      </c>
    </row>
    <row r="211" customFormat="false" ht="15" hidden="false" customHeight="false" outlineLevel="0" collapsed="false">
      <c r="A211" s="6" t="s">
        <v>520</v>
      </c>
      <c r="B211" s="6" t="s">
        <v>364</v>
      </c>
      <c r="C211" s="6" t="s">
        <v>521</v>
      </c>
      <c r="D211" s="7" t="n">
        <v>8.1</v>
      </c>
      <c r="E211" s="7" t="n">
        <v>8.1</v>
      </c>
      <c r="F211" s="6" t="n">
        <v>1</v>
      </c>
      <c r="G211" s="7" t="n">
        <v>6.99</v>
      </c>
      <c r="H211" s="6" t="s">
        <v>31</v>
      </c>
      <c r="I211" s="6" t="str">
        <f aca="false">IF(G211&lt;D211,"più caro",IF(G211&gt;E211,"più economico","in fascia"))</f>
        <v>più caro</v>
      </c>
      <c r="J211" s="8" t="n">
        <f aca="false">IF(G211&lt;D211,(D211-G211)/G211,IF(G211&gt;E211,(E211-G211)/G211,0))</f>
        <v>0.158798283261802</v>
      </c>
    </row>
    <row r="212" customFormat="false" ht="15" hidden="false" customHeight="false" outlineLevel="0" collapsed="false">
      <c r="A212" s="6" t="s">
        <v>522</v>
      </c>
      <c r="B212" s="6" t="s">
        <v>364</v>
      </c>
      <c r="C212" s="6" t="s">
        <v>523</v>
      </c>
      <c r="D212" s="7" t="n">
        <v>7.7</v>
      </c>
      <c r="E212" s="7" t="n">
        <v>7.7</v>
      </c>
      <c r="F212" s="6" t="n">
        <v>1</v>
      </c>
      <c r="G212" s="7" t="n">
        <v>7.59</v>
      </c>
      <c r="H212" s="6" t="s">
        <v>31</v>
      </c>
      <c r="I212" s="6" t="str">
        <f aca="false">IF(G212&lt;D212,"più caro",IF(G212&gt;E212,"più economico","in fascia"))</f>
        <v>più caro</v>
      </c>
      <c r="J212" s="8" t="n">
        <f aca="false">IF(G212&lt;D212,(D212-G212)/G212,IF(G212&gt;E212,(E212-G212)/G212,0))</f>
        <v>0.0144927536231884</v>
      </c>
    </row>
    <row r="213" customFormat="false" ht="15" hidden="false" customHeight="false" outlineLevel="0" collapsed="false">
      <c r="A213" s="6" t="s">
        <v>524</v>
      </c>
      <c r="B213" s="6" t="s">
        <v>364</v>
      </c>
      <c r="C213" s="6" t="s">
        <v>525</v>
      </c>
      <c r="D213" s="7" t="n">
        <v>7.5</v>
      </c>
      <c r="E213" s="7" t="n">
        <v>7.5</v>
      </c>
      <c r="F213" s="6" t="n">
        <v>3</v>
      </c>
      <c r="G213" s="7" t="n">
        <v>6.3</v>
      </c>
      <c r="H213" s="6" t="s">
        <v>147</v>
      </c>
      <c r="I213" s="6" t="str">
        <f aca="false">IF(G213&lt;D213,"più caro",IF(G213&gt;E213,"più economico","in fascia"))</f>
        <v>più caro</v>
      </c>
      <c r="J213" s="8" t="n">
        <f aca="false">IF(G213&lt;D213,(D213-G213)/G213,IF(G213&gt;E213,(E213-G213)/G213,0))</f>
        <v>0.190476190476191</v>
      </c>
    </row>
    <row r="214" customFormat="false" ht="15" hidden="false" customHeight="false" outlineLevel="0" collapsed="false">
      <c r="A214" s="6" t="s">
        <v>526</v>
      </c>
      <c r="B214" s="6" t="s">
        <v>364</v>
      </c>
      <c r="C214" s="6" t="s">
        <v>527</v>
      </c>
      <c r="D214" s="7" t="n">
        <v>7.99</v>
      </c>
      <c r="E214" s="7" t="n">
        <v>7.99</v>
      </c>
      <c r="F214" s="6" t="n">
        <v>3</v>
      </c>
      <c r="G214" s="7" t="n">
        <v>5.1</v>
      </c>
      <c r="H214" s="6" t="s">
        <v>226</v>
      </c>
      <c r="I214" s="6" t="str">
        <f aca="false">IF(G214&lt;D214,"più caro",IF(G214&gt;E214,"più economico","in fascia"))</f>
        <v>più caro</v>
      </c>
      <c r="J214" s="8" t="n">
        <f aca="false">IF(G214&lt;D214,(D214-G214)/G214,IF(G214&gt;E214,(E214-G214)/G214,0))</f>
        <v>0.566666666666667</v>
      </c>
    </row>
    <row r="215" customFormat="false" ht="15" hidden="false" customHeight="false" outlineLevel="0" collapsed="false">
      <c r="A215" s="6" t="s">
        <v>528</v>
      </c>
      <c r="B215" s="6" t="s">
        <v>364</v>
      </c>
      <c r="C215" s="6" t="s">
        <v>529</v>
      </c>
      <c r="D215" s="7" t="n">
        <v>7.99</v>
      </c>
      <c r="E215" s="7" t="n">
        <v>7.99</v>
      </c>
      <c r="F215" s="6" t="n">
        <v>3</v>
      </c>
      <c r="G215" s="7" t="n">
        <v>5.1</v>
      </c>
      <c r="H215" s="6" t="s">
        <v>226</v>
      </c>
      <c r="I215" s="6" t="str">
        <f aca="false">IF(G215&lt;D215,"più caro",IF(G215&gt;E215,"più economico","in fascia"))</f>
        <v>più caro</v>
      </c>
      <c r="J215" s="8" t="n">
        <f aca="false">IF(G215&lt;D215,(D215-G215)/G215,IF(G215&gt;E215,(E215-G215)/G215,0))</f>
        <v>0.566666666666667</v>
      </c>
    </row>
    <row r="216" customFormat="false" ht="15" hidden="false" customHeight="false" outlineLevel="0" collapsed="false">
      <c r="A216" s="6" t="s">
        <v>530</v>
      </c>
      <c r="B216" s="6" t="s">
        <v>364</v>
      </c>
      <c r="C216" s="6" t="s">
        <v>531</v>
      </c>
      <c r="D216" s="7" t="n">
        <v>11.35</v>
      </c>
      <c r="E216" s="7" t="n">
        <v>11.35</v>
      </c>
      <c r="F216" s="6" t="n">
        <v>3</v>
      </c>
      <c r="G216" s="7" t="n">
        <v>11.1</v>
      </c>
      <c r="H216" s="6" t="s">
        <v>31</v>
      </c>
      <c r="I216" s="6" t="str">
        <f aca="false">IF(G216&lt;D216,"più caro",IF(G216&gt;E216,"più economico","in fascia"))</f>
        <v>più caro</v>
      </c>
      <c r="J216" s="8" t="n">
        <f aca="false">IF(G216&lt;D216,(D216-G216)/G216,IF(G216&gt;E216,(E216-G216)/G216,0))</f>
        <v>0.0225225225225225</v>
      </c>
    </row>
    <row r="217" customFormat="false" ht="15" hidden="false" customHeight="false" outlineLevel="0" collapsed="false">
      <c r="A217" s="6" t="s">
        <v>532</v>
      </c>
      <c r="B217" s="6" t="s">
        <v>364</v>
      </c>
      <c r="C217" s="6" t="s">
        <v>533</v>
      </c>
      <c r="D217" s="7" t="n">
        <v>13.21</v>
      </c>
      <c r="E217" s="7" t="n">
        <v>13.21</v>
      </c>
      <c r="F217" s="6" t="n">
        <v>1</v>
      </c>
      <c r="G217" s="7" t="n">
        <v>12.99</v>
      </c>
      <c r="H217" s="6" t="s">
        <v>31</v>
      </c>
      <c r="I217" s="6" t="str">
        <f aca="false">IF(G217&lt;D217,"più caro",IF(G217&gt;E217,"più economico","in fascia"))</f>
        <v>più caro</v>
      </c>
      <c r="J217" s="8" t="n">
        <f aca="false">IF(G217&lt;D217,(D217-G217)/G217,IF(G217&gt;E217,(E217-G217)/G217,0))</f>
        <v>0.01693610469592</v>
      </c>
    </row>
    <row r="218" customFormat="false" ht="15" hidden="false" customHeight="false" outlineLevel="0" collapsed="false">
      <c r="A218" s="6" t="s">
        <v>534</v>
      </c>
      <c r="B218" s="6" t="s">
        <v>364</v>
      </c>
      <c r="C218" s="6" t="s">
        <v>535</v>
      </c>
      <c r="D218" s="7" t="n">
        <v>9.4</v>
      </c>
      <c r="E218" s="7" t="n">
        <v>9.4</v>
      </c>
      <c r="F218" s="6" t="n">
        <v>4</v>
      </c>
      <c r="G218" s="7" t="n">
        <v>5.93</v>
      </c>
      <c r="H218" s="6" t="s">
        <v>226</v>
      </c>
      <c r="I218" s="6" t="str">
        <f aca="false">IF(G218&lt;D218,"più caro",IF(G218&gt;E218,"più economico","in fascia"))</f>
        <v>più caro</v>
      </c>
      <c r="J218" s="8" t="n">
        <f aca="false">IF(G218&lt;D218,(D218-G218)/G218,IF(G218&gt;E218,(E218-G218)/G218,0))</f>
        <v>0.585160202360877</v>
      </c>
    </row>
    <row r="219" customFormat="false" ht="15" hidden="false" customHeight="false" outlineLevel="0" collapsed="false">
      <c r="A219" s="6" t="s">
        <v>537</v>
      </c>
      <c r="B219" s="6" t="s">
        <v>364</v>
      </c>
      <c r="C219" s="6" t="s">
        <v>538</v>
      </c>
      <c r="D219" s="7" t="n">
        <v>12.3</v>
      </c>
      <c r="E219" s="7" t="n">
        <v>12.3</v>
      </c>
      <c r="F219" s="6" t="n">
        <v>4</v>
      </c>
      <c r="G219" s="7" t="n">
        <v>5.93</v>
      </c>
      <c r="H219" s="6" t="s">
        <v>226</v>
      </c>
      <c r="I219" s="6" t="str">
        <f aca="false">IF(G219&lt;D219,"più caro",IF(G219&gt;E219,"più economico","in fascia"))</f>
        <v>più caro</v>
      </c>
      <c r="J219" s="8" t="n">
        <f aca="false">IF(G219&lt;D219,(D219-G219)/G219,IF(G219&gt;E219,(E219-G219)/G219,0))</f>
        <v>1.07419898819562</v>
      </c>
    </row>
    <row r="220" customFormat="false" ht="15" hidden="false" customHeight="false" outlineLevel="0" collapsed="false">
      <c r="A220" s="6" t="s">
        <v>539</v>
      </c>
      <c r="B220" s="6" t="s">
        <v>364</v>
      </c>
      <c r="C220" s="6" t="s">
        <v>540</v>
      </c>
      <c r="D220" s="7" t="n">
        <v>14.95</v>
      </c>
      <c r="E220" s="7" t="n">
        <v>14.95</v>
      </c>
      <c r="F220" s="6" t="n">
        <v>4</v>
      </c>
      <c r="G220" s="7" t="n">
        <v>5.93</v>
      </c>
      <c r="H220" s="6" t="s">
        <v>226</v>
      </c>
      <c r="I220" s="6" t="str">
        <f aca="false">IF(G220&lt;D220,"più caro",IF(G220&gt;E220,"più economico","in fascia"))</f>
        <v>più caro</v>
      </c>
      <c r="J220" s="8" t="n">
        <f aca="false">IF(G220&lt;D220,(D220-G220)/G220,IF(G220&gt;E220,(E220-G220)/G220,0))</f>
        <v>1.52107925801012</v>
      </c>
    </row>
    <row r="221" customFormat="false" ht="15" hidden="false" customHeight="false" outlineLevel="0" collapsed="false">
      <c r="A221" s="6" t="s">
        <v>541</v>
      </c>
      <c r="B221" s="6" t="s">
        <v>364</v>
      </c>
      <c r="C221" s="6" t="s">
        <v>542</v>
      </c>
      <c r="D221" s="7" t="n">
        <v>16.1</v>
      </c>
      <c r="E221" s="7" t="n">
        <v>16.1</v>
      </c>
      <c r="F221" s="6" t="n">
        <v>4</v>
      </c>
      <c r="G221" s="7" t="n">
        <v>4.8</v>
      </c>
      <c r="H221" s="6" t="s">
        <v>39</v>
      </c>
      <c r="I221" s="6" t="str">
        <f aca="false">IF(G221&lt;D221,"più caro",IF(G221&gt;E221,"più economico","in fascia"))</f>
        <v>più caro</v>
      </c>
      <c r="J221" s="8" t="n">
        <f aca="false">IF(G221&lt;D221,(D221-G221)/G221,IF(G221&gt;E221,(E221-G221)/G221,0))</f>
        <v>2.35416666666667</v>
      </c>
    </row>
    <row r="222" customFormat="false" ht="15" hidden="false" customHeight="false" outlineLevel="0" collapsed="false">
      <c r="A222" s="6" t="s">
        <v>543</v>
      </c>
      <c r="B222" s="6" t="s">
        <v>364</v>
      </c>
      <c r="C222" s="6" t="s">
        <v>544</v>
      </c>
      <c r="D222" s="7" t="n">
        <v>2.98</v>
      </c>
      <c r="E222" s="7" t="n">
        <v>2.98</v>
      </c>
      <c r="F222" s="6" t="n">
        <v>1</v>
      </c>
      <c r="G222" s="7" t="n">
        <v>2.85</v>
      </c>
      <c r="H222" s="6" t="s">
        <v>31</v>
      </c>
      <c r="I222" s="6" t="str">
        <f aca="false">IF(G222&lt;D222,"più caro",IF(G222&gt;E222,"più economico","in fascia"))</f>
        <v>più caro</v>
      </c>
      <c r="J222" s="8" t="n">
        <f aca="false">IF(G222&lt;D222,(D222-G222)/G222,IF(G222&gt;E222,(E222-G222)/G222,0))</f>
        <v>0.0456140350877193</v>
      </c>
    </row>
    <row r="223" customFormat="false" ht="15" hidden="false" customHeight="false" outlineLevel="0" collapsed="false">
      <c r="A223" s="6" t="s">
        <v>545</v>
      </c>
      <c r="B223" s="6" t="s">
        <v>364</v>
      </c>
      <c r="C223" s="6" t="s">
        <v>546</v>
      </c>
      <c r="D223" s="7" t="n">
        <v>6.6</v>
      </c>
      <c r="E223" s="7" t="n">
        <v>6.6</v>
      </c>
      <c r="F223" s="6" t="n">
        <v>1</v>
      </c>
      <c r="G223" s="7" t="n">
        <v>5.99</v>
      </c>
      <c r="H223" s="6" t="s">
        <v>31</v>
      </c>
      <c r="I223" s="6" t="str">
        <f aca="false">IF(G223&lt;D223,"più caro",IF(G223&gt;E223,"più economico","in fascia"))</f>
        <v>più caro</v>
      </c>
      <c r="J223" s="8" t="n">
        <f aca="false">IF(G223&lt;D223,(D223-G223)/G223,IF(G223&gt;E223,(E223-G223)/G223,0))</f>
        <v>0.101836393989983</v>
      </c>
    </row>
    <row r="224" customFormat="false" ht="15" hidden="false" customHeight="false" outlineLevel="0" collapsed="false">
      <c r="A224" s="6" t="s">
        <v>547</v>
      </c>
      <c r="B224" s="6" t="s">
        <v>364</v>
      </c>
      <c r="C224" s="6" t="s">
        <v>548</v>
      </c>
      <c r="D224" s="7" t="n">
        <v>13.21</v>
      </c>
      <c r="E224" s="7" t="n">
        <v>13.21</v>
      </c>
      <c r="F224" s="6" t="n">
        <v>1</v>
      </c>
      <c r="G224" s="7" t="n">
        <v>13.99</v>
      </c>
      <c r="H224" s="6" t="s">
        <v>31</v>
      </c>
      <c r="I224" s="6" t="str">
        <f aca="false">IF(G224&lt;D224,"più caro",IF(G224&gt;E224,"più economico","in fascia"))</f>
        <v>più economico</v>
      </c>
      <c r="J224" s="8" t="n">
        <f aca="false">IF(G224&lt;D224,(D224-G224)/G224,IF(G224&gt;E224,(E224-G224)/G224,0))</f>
        <v>-0.0557541100786275</v>
      </c>
    </row>
    <row r="225" customFormat="false" ht="15" hidden="false" customHeight="false" outlineLevel="0" collapsed="false">
      <c r="A225" s="6" t="s">
        <v>549</v>
      </c>
      <c r="B225" s="6" t="s">
        <v>364</v>
      </c>
      <c r="C225" s="6" t="s">
        <v>550</v>
      </c>
      <c r="D225" s="7" t="n">
        <v>7.1</v>
      </c>
      <c r="E225" s="7" t="n">
        <v>7.1</v>
      </c>
      <c r="F225" s="6" t="n">
        <v>2</v>
      </c>
      <c r="G225" s="7" t="n">
        <v>6.49</v>
      </c>
      <c r="H225" s="6" t="s">
        <v>31</v>
      </c>
      <c r="I225" s="6" t="str">
        <f aca="false">IF(G225&lt;D225,"più caro",IF(G225&gt;E225,"più economico","in fascia"))</f>
        <v>più caro</v>
      </c>
      <c r="J225" s="8" t="n">
        <f aca="false">IF(G225&lt;D225,(D225-G225)/G225,IF(G225&gt;E225,(E225-G225)/G225,0))</f>
        <v>0.0939907550077041</v>
      </c>
    </row>
    <row r="226" customFormat="false" ht="15" hidden="false" customHeight="false" outlineLevel="0" collapsed="false">
      <c r="A226" s="6" t="s">
        <v>551</v>
      </c>
      <c r="B226" s="6" t="s">
        <v>364</v>
      </c>
      <c r="C226" s="6" t="s">
        <v>552</v>
      </c>
      <c r="D226" s="7" t="n">
        <v>13.9</v>
      </c>
      <c r="E226" s="7" t="n">
        <v>13.9</v>
      </c>
      <c r="F226" s="6" t="n">
        <v>1</v>
      </c>
      <c r="G226" s="7" t="n">
        <v>10.55</v>
      </c>
      <c r="H226" s="6" t="s">
        <v>31</v>
      </c>
      <c r="I226" s="6" t="str">
        <f aca="false">IF(G226&lt;D226,"più caro",IF(G226&gt;E226,"più economico","in fascia"))</f>
        <v>più caro</v>
      </c>
      <c r="J226" s="8" t="n">
        <f aca="false">IF(G226&lt;D226,(D226-G226)/G226,IF(G226&gt;E226,(E226-G226)/G226,0))</f>
        <v>0.317535545023697</v>
      </c>
    </row>
    <row r="227" customFormat="false" ht="15" hidden="false" customHeight="false" outlineLevel="0" collapsed="false">
      <c r="A227" s="6" t="s">
        <v>553</v>
      </c>
      <c r="B227" s="6" t="s">
        <v>364</v>
      </c>
      <c r="C227" s="6" t="s">
        <v>554</v>
      </c>
      <c r="D227" s="7" t="n">
        <v>15.25</v>
      </c>
      <c r="E227" s="7" t="n">
        <v>15.25</v>
      </c>
      <c r="F227" s="6" t="n">
        <v>2</v>
      </c>
      <c r="G227" s="7" t="n">
        <v>14.2</v>
      </c>
      <c r="H227" s="6" t="s">
        <v>31</v>
      </c>
      <c r="I227" s="6" t="str">
        <f aca="false">IF(G227&lt;D227,"più caro",IF(G227&gt;E227,"più economico","in fascia"))</f>
        <v>più caro</v>
      </c>
      <c r="J227" s="8" t="n">
        <f aca="false">IF(G227&lt;D227,(D227-G227)/G227,IF(G227&gt;E227,(E227-G227)/G227,0))</f>
        <v>0.073943661971831</v>
      </c>
    </row>
    <row r="228" customFormat="false" ht="15" hidden="false" customHeight="false" outlineLevel="0" collapsed="false">
      <c r="A228" s="6" t="s">
        <v>555</v>
      </c>
      <c r="B228" s="6" t="s">
        <v>364</v>
      </c>
      <c r="C228" s="6" t="s">
        <v>556</v>
      </c>
      <c r="D228" s="7" t="n">
        <v>16.99</v>
      </c>
      <c r="E228" s="7" t="n">
        <v>16.99</v>
      </c>
      <c r="F228" s="6" t="n">
        <v>2</v>
      </c>
      <c r="G228" s="7" t="n">
        <v>14.2</v>
      </c>
      <c r="H228" s="6" t="s">
        <v>31</v>
      </c>
      <c r="I228" s="6" t="str">
        <f aca="false">IF(G228&lt;D228,"più caro",IF(G228&gt;E228,"più economico","in fascia"))</f>
        <v>più caro</v>
      </c>
      <c r="J228" s="8" t="n">
        <f aca="false">IF(G228&lt;D228,(D228-G228)/G228,IF(G228&gt;E228,(E228-G228)/G228,0))</f>
        <v>0.196478873239437</v>
      </c>
    </row>
    <row r="229" customFormat="false" ht="15" hidden="false" customHeight="false" outlineLevel="0" collapsed="false">
      <c r="A229" s="6" t="s">
        <v>557</v>
      </c>
      <c r="B229" s="6" t="s">
        <v>364</v>
      </c>
      <c r="C229" s="6" t="s">
        <v>558</v>
      </c>
      <c r="D229" s="7" t="n">
        <v>7.15</v>
      </c>
      <c r="E229" s="7" t="n">
        <v>7.15</v>
      </c>
      <c r="F229" s="6" t="n">
        <v>2</v>
      </c>
      <c r="G229" s="7" t="n">
        <v>5.44</v>
      </c>
      <c r="H229" s="6" t="s">
        <v>31</v>
      </c>
      <c r="I229" s="6" t="str">
        <f aca="false">IF(G229&lt;D229,"più caro",IF(G229&gt;E229,"più economico","in fascia"))</f>
        <v>più caro</v>
      </c>
      <c r="J229" s="8" t="n">
        <f aca="false">IF(G229&lt;D229,(D229-G229)/G229,IF(G229&gt;E229,(E229-G229)/G229,0))</f>
        <v>0.314338235294118</v>
      </c>
    </row>
    <row r="230" customFormat="false" ht="15" hidden="false" customHeight="false" outlineLevel="0" collapsed="false">
      <c r="A230" s="6" t="s">
        <v>559</v>
      </c>
      <c r="B230" s="6" t="s">
        <v>364</v>
      </c>
      <c r="C230" s="6" t="s">
        <v>560</v>
      </c>
      <c r="D230" s="7" t="n">
        <v>6.79</v>
      </c>
      <c r="E230" s="7" t="n">
        <v>6.79</v>
      </c>
      <c r="F230" s="6" t="n">
        <v>2</v>
      </c>
      <c r="G230" s="7" t="n">
        <v>5.44</v>
      </c>
      <c r="H230" s="6" t="s">
        <v>31</v>
      </c>
      <c r="I230" s="6" t="str">
        <f aca="false">IF(G230&lt;D230,"più caro",IF(G230&gt;E230,"più economico","in fascia"))</f>
        <v>più caro</v>
      </c>
      <c r="J230" s="8" t="n">
        <f aca="false">IF(G230&lt;D230,(D230-G230)/G230,IF(G230&gt;E230,(E230-G230)/G230,0))</f>
        <v>0.248161764705882</v>
      </c>
    </row>
    <row r="231" customFormat="false" ht="15" hidden="false" customHeight="false" outlineLevel="0" collapsed="false">
      <c r="A231" s="6" t="s">
        <v>561</v>
      </c>
      <c r="B231" s="6" t="s">
        <v>364</v>
      </c>
      <c r="C231" s="6" t="s">
        <v>562</v>
      </c>
      <c r="D231" s="7" t="n">
        <v>15.98</v>
      </c>
      <c r="E231" s="7" t="n">
        <v>15.98</v>
      </c>
      <c r="F231" s="6" t="n">
        <v>1</v>
      </c>
      <c r="G231" s="7" t="n">
        <v>11.5</v>
      </c>
      <c r="H231" s="6" t="s">
        <v>31</v>
      </c>
      <c r="I231" s="6" t="str">
        <f aca="false">IF(G231&lt;D231,"più caro",IF(G231&gt;E231,"più economico","in fascia"))</f>
        <v>più caro</v>
      </c>
      <c r="J231" s="8" t="n">
        <f aca="false">IF(G231&lt;D231,(D231-G231)/G231,IF(G231&gt;E231,(E231-G231)/G231,0))</f>
        <v>0.389565217391304</v>
      </c>
    </row>
    <row r="232" customFormat="false" ht="15" hidden="false" customHeight="false" outlineLevel="0" collapsed="false">
      <c r="A232" s="6" t="s">
        <v>563</v>
      </c>
      <c r="B232" s="6" t="s">
        <v>364</v>
      </c>
      <c r="C232" s="6" t="s">
        <v>564</v>
      </c>
      <c r="D232" s="7" t="n">
        <v>15.2</v>
      </c>
      <c r="E232" s="7" t="n">
        <v>15.2</v>
      </c>
      <c r="F232" s="6" t="n">
        <v>1</v>
      </c>
      <c r="G232" s="7" t="n">
        <v>5.49</v>
      </c>
      <c r="H232" s="6" t="s">
        <v>31</v>
      </c>
      <c r="I232" s="6" t="str">
        <f aca="false">IF(G232&lt;D232,"più caro",IF(G232&gt;E232,"più economico","in fascia"))</f>
        <v>più caro</v>
      </c>
      <c r="J232" s="8" t="n">
        <f aca="false">IF(G232&lt;D232,(D232-G232)/G232,IF(G232&gt;E232,(E232-G232)/G232,0))</f>
        <v>1.76867030965392</v>
      </c>
    </row>
    <row r="233" customFormat="false" ht="15" hidden="false" customHeight="false" outlineLevel="0" collapsed="false">
      <c r="A233" s="6" t="s">
        <v>565</v>
      </c>
      <c r="B233" s="6" t="s">
        <v>364</v>
      </c>
      <c r="C233" s="6" t="s">
        <v>566</v>
      </c>
      <c r="D233" s="7" t="n">
        <v>17.1</v>
      </c>
      <c r="E233" s="7" t="n">
        <v>17.1</v>
      </c>
      <c r="F233" s="6" t="n">
        <v>1</v>
      </c>
      <c r="G233" s="7" t="n">
        <v>15.39</v>
      </c>
      <c r="H233" s="6" t="s">
        <v>31</v>
      </c>
      <c r="I233" s="6" t="str">
        <f aca="false">IF(G233&lt;D233,"più caro",IF(G233&gt;E233,"più economico","in fascia"))</f>
        <v>più caro</v>
      </c>
      <c r="J233" s="8" t="n">
        <f aca="false">IF(G233&lt;D233,(D233-G233)/G233,IF(G233&gt;E233,(E233-G233)/G233,0))</f>
        <v>0.111111111111111</v>
      </c>
    </row>
    <row r="234" customFormat="false" ht="15" hidden="false" customHeight="false" outlineLevel="0" collapsed="false">
      <c r="A234" s="6" t="s">
        <v>567</v>
      </c>
      <c r="B234" s="6" t="s">
        <v>364</v>
      </c>
      <c r="C234" s="6" t="s">
        <v>568</v>
      </c>
      <c r="D234" s="7" t="n">
        <v>6.98</v>
      </c>
      <c r="E234" s="7" t="n">
        <v>6.98</v>
      </c>
      <c r="F234" s="6" t="n">
        <v>1</v>
      </c>
      <c r="G234" s="7" t="n">
        <v>5.99</v>
      </c>
      <c r="H234" s="6" t="s">
        <v>31</v>
      </c>
      <c r="I234" s="6" t="str">
        <f aca="false">IF(G234&lt;D234,"più caro",IF(G234&gt;E234,"più economico","in fascia"))</f>
        <v>più caro</v>
      </c>
      <c r="J234" s="8" t="n">
        <f aca="false">IF(G234&lt;D234,(D234-G234)/G234,IF(G234&gt;E234,(E234-G234)/G234,0))</f>
        <v>0.165275459098498</v>
      </c>
    </row>
    <row r="235" customFormat="false" ht="15" hidden="false" customHeight="false" outlineLevel="0" collapsed="false">
      <c r="A235" s="6" t="s">
        <v>569</v>
      </c>
      <c r="B235" s="6" t="s">
        <v>364</v>
      </c>
      <c r="C235" s="6" t="s">
        <v>570</v>
      </c>
      <c r="D235" s="7" t="n">
        <v>6.98</v>
      </c>
      <c r="E235" s="7" t="n">
        <v>6.98</v>
      </c>
      <c r="F235" s="6" t="n">
        <v>1</v>
      </c>
      <c r="G235" s="7" t="n">
        <v>5.99</v>
      </c>
      <c r="H235" s="6" t="s">
        <v>31</v>
      </c>
      <c r="I235" s="6" t="str">
        <f aca="false">IF(G235&lt;D235,"più caro",IF(G235&gt;E235,"più economico","in fascia"))</f>
        <v>più caro</v>
      </c>
      <c r="J235" s="8" t="n">
        <f aca="false">IF(G235&lt;D235,(D235-G235)/G235,IF(G235&gt;E235,(E235-G235)/G235,0))</f>
        <v>0.165275459098498</v>
      </c>
    </row>
    <row r="236" customFormat="false" ht="15" hidden="false" customHeight="false" outlineLevel="0" collapsed="false">
      <c r="A236" s="6" t="s">
        <v>571</v>
      </c>
      <c r="B236" s="6" t="s">
        <v>364</v>
      </c>
      <c r="C236" s="6" t="s">
        <v>572</v>
      </c>
      <c r="D236" s="7" t="n">
        <v>7.35</v>
      </c>
      <c r="E236" s="7" t="n">
        <v>7.35</v>
      </c>
      <c r="F236" s="6" t="n">
        <v>1</v>
      </c>
      <c r="G236" s="7" t="n">
        <v>5.99</v>
      </c>
      <c r="H236" s="6" t="s">
        <v>31</v>
      </c>
      <c r="I236" s="6" t="str">
        <f aca="false">IF(G236&lt;D236,"più caro",IF(G236&gt;E236,"più economico","in fascia"))</f>
        <v>più caro</v>
      </c>
      <c r="J236" s="8" t="n">
        <f aca="false">IF(G236&lt;D236,(D236-G236)/G236,IF(G236&gt;E236,(E236-G236)/G236,0))</f>
        <v>0.227045075125209</v>
      </c>
    </row>
    <row r="237" customFormat="false" ht="15" hidden="false" customHeight="false" outlineLevel="0" collapsed="false">
      <c r="A237" s="6" t="s">
        <v>573</v>
      </c>
      <c r="B237" s="6" t="s">
        <v>364</v>
      </c>
      <c r="C237" s="6" t="s">
        <v>574</v>
      </c>
      <c r="D237" s="7" t="n">
        <v>13.98</v>
      </c>
      <c r="E237" s="7" t="n">
        <v>26.5</v>
      </c>
      <c r="F237" s="6" t="n">
        <v>2</v>
      </c>
      <c r="G237" s="7" t="n">
        <v>20.1</v>
      </c>
      <c r="H237" s="6" t="s">
        <v>105</v>
      </c>
      <c r="I237" s="6" t="str">
        <f aca="false">IF(G237&lt;D237,"più caro",IF(G237&gt;E237,"più economico","in fascia"))</f>
        <v>in fascia</v>
      </c>
      <c r="J237" s="8" t="n">
        <f aca="false">IF(G237&lt;D237,(D237-G237)/G237,IF(G237&gt;E237,(E237-G237)/G237,0))</f>
        <v>0</v>
      </c>
    </row>
    <row r="238" customFormat="false" ht="15" hidden="false" customHeight="false" outlineLevel="0" collapsed="false">
      <c r="A238" s="6" t="s">
        <v>576</v>
      </c>
      <c r="B238" s="6" t="s">
        <v>577</v>
      </c>
      <c r="C238" s="6" t="s">
        <v>578</v>
      </c>
      <c r="D238" s="7" t="n">
        <v>9.9</v>
      </c>
      <c r="E238" s="7" t="n">
        <v>9.9</v>
      </c>
      <c r="F238" s="6" t="n">
        <v>1</v>
      </c>
      <c r="G238" s="7" t="n">
        <v>7.92</v>
      </c>
      <c r="H238" s="6" t="s">
        <v>31</v>
      </c>
      <c r="I238" s="6" t="str">
        <f aca="false">IF(G238&lt;D238,"più caro",IF(G238&gt;E238,"più economico","in fascia"))</f>
        <v>più caro</v>
      </c>
      <c r="J238" s="8" t="n">
        <f aca="false">IF(G238&lt;D238,(D238-G238)/G238,IF(G238&gt;E238,(E238-G238)/G238,0))</f>
        <v>0.25</v>
      </c>
    </row>
    <row r="239" customFormat="false" ht="15" hidden="false" customHeight="false" outlineLevel="0" collapsed="false">
      <c r="A239" s="6" t="s">
        <v>579</v>
      </c>
      <c r="B239" s="6" t="s">
        <v>577</v>
      </c>
      <c r="C239" s="6" t="s">
        <v>580</v>
      </c>
      <c r="D239" s="7" t="n">
        <v>6.9</v>
      </c>
      <c r="E239" s="7" t="n">
        <v>6.9</v>
      </c>
      <c r="F239" s="6" t="n">
        <v>1</v>
      </c>
      <c r="G239" s="7" t="n">
        <v>5.49</v>
      </c>
      <c r="H239" s="6" t="s">
        <v>31</v>
      </c>
      <c r="I239" s="6" t="str">
        <f aca="false">IF(G239&lt;D239,"più caro",IF(G239&gt;E239,"più economico","in fascia"))</f>
        <v>più caro</v>
      </c>
      <c r="J239" s="8" t="n">
        <f aca="false">IF(G239&lt;D239,(D239-G239)/G239,IF(G239&gt;E239,(E239-G239)/G239,0))</f>
        <v>0.256830601092896</v>
      </c>
    </row>
    <row r="240" customFormat="false" ht="15" hidden="false" customHeight="false" outlineLevel="0" collapsed="false">
      <c r="A240" s="6" t="s">
        <v>581</v>
      </c>
      <c r="B240" s="6" t="s">
        <v>577</v>
      </c>
      <c r="C240" s="6" t="s">
        <v>582</v>
      </c>
      <c r="D240" s="7" t="n">
        <v>6.9</v>
      </c>
      <c r="E240" s="7" t="n">
        <v>6.9</v>
      </c>
      <c r="F240" s="6" t="n">
        <v>1</v>
      </c>
      <c r="G240" s="7" t="n">
        <v>5.1</v>
      </c>
      <c r="H240" s="6" t="s">
        <v>31</v>
      </c>
      <c r="I240" s="6" t="str">
        <f aca="false">IF(G240&lt;D240,"più caro",IF(G240&gt;E240,"più economico","in fascia"))</f>
        <v>più caro</v>
      </c>
      <c r="J240" s="8" t="n">
        <f aca="false">IF(G240&lt;D240,(D240-G240)/G240,IF(G240&gt;E240,(E240-G240)/G240,0))</f>
        <v>0.352941176470588</v>
      </c>
    </row>
    <row r="241" customFormat="false" ht="15" hidden="false" customHeight="false" outlineLevel="0" collapsed="false">
      <c r="A241" s="6" t="s">
        <v>583</v>
      </c>
      <c r="B241" s="6" t="s">
        <v>577</v>
      </c>
      <c r="C241" s="6" t="s">
        <v>584</v>
      </c>
      <c r="D241" s="7" t="n">
        <v>7.9</v>
      </c>
      <c r="E241" s="7" t="n">
        <v>7.9</v>
      </c>
      <c r="F241" s="6" t="n">
        <v>1</v>
      </c>
      <c r="G241" s="7" t="n">
        <v>4.89</v>
      </c>
      <c r="H241" s="6" t="s">
        <v>31</v>
      </c>
      <c r="I241" s="6" t="str">
        <f aca="false">IF(G241&lt;D241,"più caro",IF(G241&gt;E241,"più economico","in fascia"))</f>
        <v>più caro</v>
      </c>
      <c r="J241" s="8" t="n">
        <f aca="false">IF(G241&lt;D241,(D241-G241)/G241,IF(G241&gt;E241,(E241-G241)/G241,0))</f>
        <v>0.615541922290389</v>
      </c>
    </row>
    <row r="242" customFormat="false" ht="15" hidden="false" customHeight="false" outlineLevel="0" collapsed="false">
      <c r="A242" s="6" t="s">
        <v>585</v>
      </c>
      <c r="B242" s="6" t="s">
        <v>586</v>
      </c>
      <c r="C242" s="6" t="s">
        <v>587</v>
      </c>
      <c r="D242" s="7" t="n">
        <v>10.5</v>
      </c>
      <c r="E242" s="7" t="n">
        <v>10.5</v>
      </c>
      <c r="F242" s="6" t="n">
        <v>1</v>
      </c>
      <c r="G242" s="7" t="n">
        <v>9.99</v>
      </c>
      <c r="H242" s="6" t="s">
        <v>31</v>
      </c>
      <c r="I242" s="6" t="str">
        <f aca="false">IF(G242&lt;D242,"più caro",IF(G242&gt;E242,"più economico","in fascia"))</f>
        <v>più caro</v>
      </c>
      <c r="J242" s="8" t="n">
        <f aca="false">IF(G242&lt;D242,(D242-G242)/G242,IF(G242&gt;E242,(E242-G242)/G242,0))</f>
        <v>0.051051051051051</v>
      </c>
    </row>
    <row r="243" customFormat="false" ht="15" hidden="false" customHeight="false" outlineLevel="0" collapsed="false">
      <c r="A243" s="6" t="s">
        <v>588</v>
      </c>
      <c r="B243" s="6" t="s">
        <v>586</v>
      </c>
      <c r="C243" s="6" t="s">
        <v>589</v>
      </c>
      <c r="D243" s="7" t="n">
        <v>12.5</v>
      </c>
      <c r="E243" s="7" t="n">
        <v>12.5</v>
      </c>
      <c r="F243" s="6" t="n">
        <v>1</v>
      </c>
      <c r="G243" s="7" t="n">
        <v>12.49</v>
      </c>
      <c r="H243" s="6" t="s">
        <v>31</v>
      </c>
      <c r="I243" s="6" t="str">
        <f aca="false">IF(G243&lt;D243,"più caro",IF(G243&gt;E243,"più economico","in fascia"))</f>
        <v>più caro</v>
      </c>
      <c r="J243" s="8" t="n">
        <f aca="false">IF(G243&lt;D243,(D243-G243)/G243,IF(G243&gt;E243,(E243-G243)/G243,0))</f>
        <v>0.000800640512409911</v>
      </c>
    </row>
    <row r="244" customFormat="false" ht="15" hidden="false" customHeight="false" outlineLevel="0" collapsed="false">
      <c r="A244" s="6" t="s">
        <v>590</v>
      </c>
      <c r="B244" s="6" t="s">
        <v>586</v>
      </c>
      <c r="C244" s="6" t="s">
        <v>591</v>
      </c>
      <c r="D244" s="7" t="n">
        <v>39.9</v>
      </c>
      <c r="E244" s="7" t="n">
        <v>39.9</v>
      </c>
      <c r="F244" s="6" t="n">
        <v>1</v>
      </c>
      <c r="G244" s="7" t="n">
        <v>39.99</v>
      </c>
      <c r="H244" s="6" t="s">
        <v>31</v>
      </c>
      <c r="I244" s="6" t="str">
        <f aca="false">IF(G244&lt;D244,"più caro",IF(G244&gt;E244,"più economico","in fascia"))</f>
        <v>più economico</v>
      </c>
      <c r="J244" s="8" t="n">
        <f aca="false">IF(G244&lt;D244,(D244-G244)/G244,IF(G244&gt;E244,(E244-G244)/G244,0))</f>
        <v>-0.00225056264066025</v>
      </c>
    </row>
    <row r="245" customFormat="false" ht="15" hidden="false" customHeight="false" outlineLevel="0" collapsed="false">
      <c r="A245" s="6" t="s">
        <v>592</v>
      </c>
      <c r="B245" s="6" t="s">
        <v>586</v>
      </c>
      <c r="C245" s="6" t="s">
        <v>593</v>
      </c>
      <c r="D245" s="7" t="n">
        <v>9.5</v>
      </c>
      <c r="E245" s="7" t="n">
        <v>9.5</v>
      </c>
      <c r="F245" s="6" t="n">
        <v>1</v>
      </c>
      <c r="G245" s="7" t="n">
        <v>9.59</v>
      </c>
      <c r="H245" s="6" t="s">
        <v>31</v>
      </c>
      <c r="I245" s="6" t="str">
        <f aca="false">IF(G245&lt;D245,"più caro",IF(G245&gt;E245,"più economico","in fascia"))</f>
        <v>più economico</v>
      </c>
      <c r="J245" s="8" t="n">
        <f aca="false">IF(G245&lt;D245,(D245-G245)/G245,IF(G245&gt;E245,(E245-G245)/G245,0))</f>
        <v>-0.00938477580813346</v>
      </c>
    </row>
    <row r="246" customFormat="false" ht="15" hidden="false" customHeight="false" outlineLevel="0" collapsed="false">
      <c r="A246" s="6" t="s">
        <v>594</v>
      </c>
      <c r="B246" s="6" t="s">
        <v>586</v>
      </c>
      <c r="C246" s="6" t="s">
        <v>595</v>
      </c>
      <c r="D246" s="7" t="n">
        <v>5.99</v>
      </c>
      <c r="E246" s="7" t="n">
        <v>5.99</v>
      </c>
      <c r="F246" s="6" t="n">
        <v>1</v>
      </c>
      <c r="G246" s="7" t="n">
        <v>6.49</v>
      </c>
      <c r="H246" s="6" t="s">
        <v>31</v>
      </c>
      <c r="I246" s="6" t="str">
        <f aca="false">IF(G246&lt;D246,"più caro",IF(G246&gt;E246,"più economico","in fascia"))</f>
        <v>più economico</v>
      </c>
      <c r="J246" s="8" t="n">
        <f aca="false">IF(G246&lt;D246,(D246-G246)/G246,IF(G246&gt;E246,(E246-G246)/G246,0))</f>
        <v>-0.0770416024653313</v>
      </c>
    </row>
    <row r="247" customFormat="false" ht="15" hidden="false" customHeight="false" outlineLevel="0" collapsed="false">
      <c r="A247" s="6" t="s">
        <v>596</v>
      </c>
      <c r="B247" s="6" t="s">
        <v>586</v>
      </c>
      <c r="C247" s="6" t="s">
        <v>597</v>
      </c>
      <c r="D247" s="7" t="n">
        <v>5.99</v>
      </c>
      <c r="E247" s="7" t="n">
        <v>6.99</v>
      </c>
      <c r="F247" s="6" t="n">
        <v>1</v>
      </c>
      <c r="G247" s="7" t="n">
        <v>6.49</v>
      </c>
      <c r="H247" s="6" t="s">
        <v>31</v>
      </c>
      <c r="I247" s="6" t="str">
        <f aca="false">IF(G247&lt;D247,"più caro",IF(G247&gt;E247,"più economico","in fascia"))</f>
        <v>in fascia</v>
      </c>
      <c r="J247" s="8" t="n">
        <f aca="false">IF(G247&lt;D247,(D247-G247)/G247,IF(G247&gt;E247,(E247-G247)/G247,0))</f>
        <v>0</v>
      </c>
    </row>
    <row r="248" customFormat="false" ht="15" hidden="false" customHeight="false" outlineLevel="0" collapsed="false">
      <c r="A248" s="6" t="s">
        <v>598</v>
      </c>
      <c r="B248" s="6" t="s">
        <v>586</v>
      </c>
      <c r="C248" s="6" t="s">
        <v>599</v>
      </c>
      <c r="D248" s="7" t="n">
        <v>5.99</v>
      </c>
      <c r="E248" s="7" t="n">
        <v>6.99</v>
      </c>
      <c r="F248" s="6" t="n">
        <v>1</v>
      </c>
      <c r="G248" s="7" t="n">
        <v>6.49</v>
      </c>
      <c r="H248" s="6" t="s">
        <v>31</v>
      </c>
      <c r="I248" s="6" t="str">
        <f aca="false">IF(G248&lt;D248,"più caro",IF(G248&gt;E248,"più economico","in fascia"))</f>
        <v>in fascia</v>
      </c>
      <c r="J248" s="8" t="n">
        <f aca="false">IF(G248&lt;D248,(D248-G248)/G248,IF(G248&gt;E248,(E248-G248)/G248,0))</f>
        <v>0</v>
      </c>
    </row>
    <row r="249" customFormat="false" ht="15" hidden="false" customHeight="false" outlineLevel="0" collapsed="false">
      <c r="A249" s="6" t="s">
        <v>600</v>
      </c>
      <c r="B249" s="6" t="s">
        <v>586</v>
      </c>
      <c r="C249" s="6" t="s">
        <v>601</v>
      </c>
      <c r="D249" s="7" t="n">
        <v>9</v>
      </c>
      <c r="E249" s="7" t="n">
        <v>9</v>
      </c>
      <c r="F249" s="6" t="n">
        <v>1</v>
      </c>
      <c r="G249" s="7" t="n">
        <v>7.2</v>
      </c>
      <c r="H249" s="6" t="s">
        <v>31</v>
      </c>
      <c r="I249" s="6" t="str">
        <f aca="false">IF(G249&lt;D249,"più caro",IF(G249&gt;E249,"più economico","in fascia"))</f>
        <v>più caro</v>
      </c>
      <c r="J249" s="8" t="n">
        <f aca="false">IF(G249&lt;D249,(D249-G249)/G249,IF(G249&gt;E249,(E249-G249)/G249,0))</f>
        <v>0.25</v>
      </c>
    </row>
    <row r="250" customFormat="false" ht="15" hidden="false" customHeight="false" outlineLevel="0" collapsed="false">
      <c r="A250" s="6" t="s">
        <v>602</v>
      </c>
      <c r="B250" s="6" t="s">
        <v>586</v>
      </c>
      <c r="C250" s="6" t="s">
        <v>603</v>
      </c>
      <c r="D250" s="7" t="n">
        <v>5.99</v>
      </c>
      <c r="E250" s="7" t="n">
        <v>6.99</v>
      </c>
      <c r="F250" s="6" t="n">
        <v>1</v>
      </c>
      <c r="G250" s="7" t="n">
        <v>6.5</v>
      </c>
      <c r="H250" s="6" t="s">
        <v>31</v>
      </c>
      <c r="I250" s="6" t="str">
        <f aca="false">IF(G250&lt;D250,"più caro",IF(G250&gt;E250,"più economico","in fascia"))</f>
        <v>in fascia</v>
      </c>
      <c r="J250" s="8" t="n">
        <f aca="false">IF(G250&lt;D250,(D250-G250)/G250,IF(G250&gt;E250,(E250-G250)/G250,0))</f>
        <v>0</v>
      </c>
    </row>
    <row r="251" customFormat="false" ht="15" hidden="false" customHeight="false" outlineLevel="0" collapsed="false">
      <c r="A251" s="6" t="s">
        <v>604</v>
      </c>
      <c r="B251" s="6" t="s">
        <v>586</v>
      </c>
      <c r="C251" s="6" t="s">
        <v>605</v>
      </c>
      <c r="D251" s="7" t="n">
        <v>6.99</v>
      </c>
      <c r="E251" s="7" t="n">
        <v>6.99</v>
      </c>
      <c r="F251" s="6" t="n">
        <v>1</v>
      </c>
      <c r="G251" s="7" t="n">
        <v>6.25</v>
      </c>
      <c r="H251" s="6" t="s">
        <v>31</v>
      </c>
      <c r="I251" s="6" t="str">
        <f aca="false">IF(G251&lt;D251,"più caro",IF(G251&gt;E251,"più economico","in fascia"))</f>
        <v>più caro</v>
      </c>
      <c r="J251" s="8" t="n">
        <f aca="false">IF(G251&lt;D251,(D251-G251)/G251,IF(G251&gt;E251,(E251-G251)/G251,0))</f>
        <v>0.1184</v>
      </c>
    </row>
    <row r="252" customFormat="false" ht="15" hidden="false" customHeight="false" outlineLevel="0" collapsed="false">
      <c r="A252" s="6" t="s">
        <v>606</v>
      </c>
      <c r="B252" s="6" t="s">
        <v>586</v>
      </c>
      <c r="C252" s="6" t="s">
        <v>607</v>
      </c>
      <c r="D252" s="7" t="n">
        <v>6.99</v>
      </c>
      <c r="E252" s="7" t="n">
        <v>6.99</v>
      </c>
      <c r="F252" s="6" t="n">
        <v>1</v>
      </c>
      <c r="G252" s="7" t="n">
        <v>6.25</v>
      </c>
      <c r="H252" s="6" t="s">
        <v>31</v>
      </c>
      <c r="I252" s="6" t="str">
        <f aca="false">IF(G252&lt;D252,"più caro",IF(G252&gt;E252,"più economico","in fascia"))</f>
        <v>più caro</v>
      </c>
      <c r="J252" s="8" t="n">
        <f aca="false">IF(G252&lt;D252,(D252-G252)/G252,IF(G252&gt;E252,(E252-G252)/G252,0))</f>
        <v>0.1184</v>
      </c>
    </row>
    <row r="253" customFormat="false" ht="15" hidden="false" customHeight="false" outlineLevel="0" collapsed="false">
      <c r="A253" s="6" t="s">
        <v>608</v>
      </c>
      <c r="B253" s="6" t="s">
        <v>586</v>
      </c>
      <c r="C253" s="6" t="s">
        <v>609</v>
      </c>
      <c r="D253" s="7" t="n">
        <v>12.5</v>
      </c>
      <c r="E253" s="7" t="n">
        <v>12.5</v>
      </c>
      <c r="F253" s="6" t="n">
        <v>1</v>
      </c>
      <c r="G253" s="7" t="n">
        <v>10.49</v>
      </c>
      <c r="H253" s="6" t="s">
        <v>31</v>
      </c>
      <c r="I253" s="6" t="str">
        <f aca="false">IF(G253&lt;D253,"più caro",IF(G253&gt;E253,"più economico","in fascia"))</f>
        <v>più caro</v>
      </c>
      <c r="J253" s="8" t="n">
        <f aca="false">IF(G253&lt;D253,(D253-G253)/G253,IF(G253&gt;E253,(E253-G253)/G253,0))</f>
        <v>0.19161105815062</v>
      </c>
    </row>
    <row r="254" customFormat="false" ht="15" hidden="false" customHeight="false" outlineLevel="0" collapsed="false">
      <c r="A254" s="6" t="s">
        <v>610</v>
      </c>
      <c r="B254" s="6" t="s">
        <v>586</v>
      </c>
      <c r="C254" s="6" t="s">
        <v>611</v>
      </c>
      <c r="D254" s="7" t="n">
        <v>12.5</v>
      </c>
      <c r="E254" s="7" t="n">
        <v>12.5</v>
      </c>
      <c r="F254" s="6" t="n">
        <v>1</v>
      </c>
      <c r="G254" s="7" t="n">
        <v>10.49</v>
      </c>
      <c r="H254" s="6" t="s">
        <v>31</v>
      </c>
      <c r="I254" s="6" t="str">
        <f aca="false">IF(G254&lt;D254,"più caro",IF(G254&gt;E254,"più economico","in fascia"))</f>
        <v>più caro</v>
      </c>
      <c r="J254" s="8" t="n">
        <f aca="false">IF(G254&lt;D254,(D254-G254)/G254,IF(G254&gt;E254,(E254-G254)/G254,0))</f>
        <v>0.19161105815062</v>
      </c>
    </row>
    <row r="255" customFormat="false" ht="15" hidden="false" customHeight="false" outlineLevel="0" collapsed="false">
      <c r="A255" s="6" t="s">
        <v>612</v>
      </c>
      <c r="B255" s="6" t="s">
        <v>613</v>
      </c>
      <c r="C255" s="6" t="s">
        <v>614</v>
      </c>
      <c r="D255" s="7" t="n">
        <v>5.18</v>
      </c>
      <c r="E255" s="7" t="n">
        <v>5.18</v>
      </c>
      <c r="F255" s="6" t="n">
        <v>1</v>
      </c>
      <c r="G255" s="7" t="n">
        <v>5.49</v>
      </c>
      <c r="H255" s="6" t="s">
        <v>31</v>
      </c>
      <c r="I255" s="6" t="str">
        <f aca="false">IF(G255&lt;D255,"più caro",IF(G255&gt;E255,"più economico","in fascia"))</f>
        <v>più economico</v>
      </c>
      <c r="J255" s="8" t="n">
        <f aca="false">IF(G255&lt;D255,(D255-G255)/G255,IF(G255&gt;E255,(E255-G255)/G255,0))</f>
        <v>-0.0564663023679418</v>
      </c>
    </row>
    <row r="256" customFormat="false" ht="15" hidden="false" customHeight="false" outlineLevel="0" collapsed="false">
      <c r="A256" s="6" t="s">
        <v>615</v>
      </c>
      <c r="B256" s="6" t="s">
        <v>613</v>
      </c>
      <c r="C256" s="6" t="s">
        <v>616</v>
      </c>
      <c r="D256" s="7" t="n">
        <v>7.2</v>
      </c>
      <c r="E256" s="7" t="n">
        <v>7.2</v>
      </c>
      <c r="F256" s="6" t="n">
        <v>1</v>
      </c>
      <c r="G256" s="7" t="n">
        <v>6.33</v>
      </c>
      <c r="H256" s="6" t="s">
        <v>31</v>
      </c>
      <c r="I256" s="6" t="str">
        <f aca="false">IF(G256&lt;D256,"più caro",IF(G256&gt;E256,"più economico","in fascia"))</f>
        <v>più caro</v>
      </c>
      <c r="J256" s="8" t="n">
        <f aca="false">IF(G256&lt;D256,(D256-G256)/G256,IF(G256&gt;E256,(E256-G256)/G256,0))</f>
        <v>0.137440758293839</v>
      </c>
    </row>
    <row r="257" customFormat="false" ht="15" hidden="false" customHeight="false" outlineLevel="0" collapsed="false">
      <c r="A257" s="6" t="s">
        <v>617</v>
      </c>
      <c r="B257" s="6" t="s">
        <v>613</v>
      </c>
      <c r="C257" s="6" t="s">
        <v>618</v>
      </c>
      <c r="D257" s="7" t="n">
        <v>6.5</v>
      </c>
      <c r="E257" s="7" t="n">
        <v>6.5</v>
      </c>
      <c r="F257" s="6" t="n">
        <v>1</v>
      </c>
      <c r="G257" s="7" t="n">
        <v>3.99</v>
      </c>
      <c r="H257" s="6" t="s">
        <v>31</v>
      </c>
      <c r="I257" s="6" t="str">
        <f aca="false">IF(G257&lt;D257,"più caro",IF(G257&gt;E257,"più economico","in fascia"))</f>
        <v>più caro</v>
      </c>
      <c r="J257" s="8" t="n">
        <f aca="false">IF(G257&lt;D257,(D257-G257)/G257,IF(G257&gt;E257,(E257-G257)/G257,0))</f>
        <v>0.629072681704261</v>
      </c>
    </row>
    <row r="258" customFormat="false" ht="15" hidden="false" customHeight="false" outlineLevel="0" collapsed="false">
      <c r="A258" s="6" t="s">
        <v>620</v>
      </c>
      <c r="B258" s="6" t="s">
        <v>613</v>
      </c>
      <c r="C258" s="6" t="s">
        <v>621</v>
      </c>
      <c r="D258" s="7" t="n">
        <v>5.35</v>
      </c>
      <c r="E258" s="7" t="n">
        <v>5.35</v>
      </c>
      <c r="F258" s="6" t="n">
        <v>1</v>
      </c>
      <c r="G258" s="7" t="n">
        <v>5.4</v>
      </c>
      <c r="H258" s="6" t="s">
        <v>147</v>
      </c>
      <c r="I258" s="6" t="str">
        <f aca="false">IF(G258&lt;D258,"più caro",IF(G258&gt;E258,"più economico","in fascia"))</f>
        <v>più economico</v>
      </c>
      <c r="J258" s="8" t="n">
        <f aca="false">IF(G258&lt;D258,(D258-G258)/G258,IF(G258&gt;E258,(E258-G258)/G258,0))</f>
        <v>-0.00925925925925939</v>
      </c>
    </row>
    <row r="259" customFormat="false" ht="15" hidden="false" customHeight="false" outlineLevel="0" collapsed="false">
      <c r="A259" s="6" t="s">
        <v>623</v>
      </c>
      <c r="B259" s="6" t="s">
        <v>613</v>
      </c>
      <c r="C259" s="6" t="s">
        <v>624</v>
      </c>
      <c r="D259" s="7" t="n">
        <v>8.55</v>
      </c>
      <c r="E259" s="7" t="n">
        <v>8.98</v>
      </c>
      <c r="F259" s="6" t="n">
        <v>1</v>
      </c>
      <c r="G259" s="7" t="n">
        <v>6.78</v>
      </c>
      <c r="H259" s="6" t="s">
        <v>31</v>
      </c>
      <c r="I259" s="6" t="str">
        <f aca="false">IF(G259&lt;D259,"più caro",IF(G259&gt;E259,"più economico","in fascia"))</f>
        <v>più caro</v>
      </c>
      <c r="J259" s="8" t="n">
        <f aca="false">IF(G259&lt;D259,(D259-G259)/G259,IF(G259&gt;E259,(E259-G259)/G259,0))</f>
        <v>0.261061946902655</v>
      </c>
    </row>
    <row r="260" customFormat="false" ht="15" hidden="false" customHeight="false" outlineLevel="0" collapsed="false">
      <c r="A260" s="6" t="s">
        <v>625</v>
      </c>
      <c r="B260" s="6" t="s">
        <v>613</v>
      </c>
      <c r="C260" s="6" t="s">
        <v>626</v>
      </c>
      <c r="D260" s="7" t="n">
        <v>7.5</v>
      </c>
      <c r="E260" s="7" t="n">
        <v>7.5</v>
      </c>
      <c r="F260" s="6" t="n">
        <v>1</v>
      </c>
      <c r="G260" s="7" t="n">
        <v>7.65</v>
      </c>
      <c r="H260" s="6" t="s">
        <v>31</v>
      </c>
      <c r="I260" s="6" t="str">
        <f aca="false">IF(G260&lt;D260,"più caro",IF(G260&gt;E260,"più economico","in fascia"))</f>
        <v>più economico</v>
      </c>
      <c r="J260" s="8" t="n">
        <f aca="false">IF(G260&lt;D260,(D260-G260)/G260,IF(G260&gt;E260,(E260-G260)/G260,0))</f>
        <v>-0.0196078431372549</v>
      </c>
    </row>
    <row r="261" customFormat="false" ht="15" hidden="false" customHeight="false" outlineLevel="0" collapsed="false">
      <c r="A261" s="6" t="s">
        <v>627</v>
      </c>
      <c r="B261" s="6" t="s">
        <v>613</v>
      </c>
      <c r="C261" s="6" t="s">
        <v>628</v>
      </c>
      <c r="D261" s="7" t="n">
        <v>7.99</v>
      </c>
      <c r="E261" s="7" t="n">
        <v>7.99</v>
      </c>
      <c r="F261" s="6" t="n">
        <v>1</v>
      </c>
      <c r="G261" s="7" t="n">
        <v>6.09</v>
      </c>
      <c r="H261" s="6" t="s">
        <v>31</v>
      </c>
      <c r="I261" s="6" t="str">
        <f aca="false">IF(G261&lt;D261,"più caro",IF(G261&gt;E261,"più economico","in fascia"))</f>
        <v>più caro</v>
      </c>
      <c r="J261" s="8" t="n">
        <f aca="false">IF(G261&lt;D261,(D261-G261)/G261,IF(G261&gt;E261,(E261-G261)/G261,0))</f>
        <v>0.311986863711002</v>
      </c>
    </row>
    <row r="262" customFormat="false" ht="15" hidden="false" customHeight="false" outlineLevel="0" collapsed="false">
      <c r="A262" s="6" t="s">
        <v>629</v>
      </c>
      <c r="B262" s="6" t="s">
        <v>613</v>
      </c>
      <c r="C262" s="6" t="s">
        <v>630</v>
      </c>
      <c r="D262" s="7" t="n">
        <v>6.9</v>
      </c>
      <c r="E262" s="7" t="n">
        <v>6.9</v>
      </c>
      <c r="F262" s="6" t="n">
        <v>1</v>
      </c>
      <c r="G262" s="7" t="n">
        <v>6.4</v>
      </c>
      <c r="H262" s="6" t="s">
        <v>31</v>
      </c>
      <c r="I262" s="6" t="str">
        <f aca="false">IF(G262&lt;D262,"più caro",IF(G262&gt;E262,"più economico","in fascia"))</f>
        <v>più caro</v>
      </c>
      <c r="J262" s="8" t="n">
        <f aca="false">IF(G262&lt;D262,(D262-G262)/G262,IF(G262&gt;E262,(E262-G262)/G262,0))</f>
        <v>0.078125</v>
      </c>
    </row>
    <row r="263" customFormat="false" ht="15" hidden="false" customHeight="false" outlineLevel="0" collapsed="false">
      <c r="A263" s="6" t="s">
        <v>631</v>
      </c>
      <c r="B263" s="6" t="s">
        <v>613</v>
      </c>
      <c r="C263" s="6" t="s">
        <v>632</v>
      </c>
      <c r="D263" s="7" t="n">
        <v>9</v>
      </c>
      <c r="E263" s="7" t="n">
        <v>9</v>
      </c>
      <c r="F263" s="6" t="n">
        <v>1</v>
      </c>
      <c r="G263" s="7" t="n">
        <v>7.79</v>
      </c>
      <c r="H263" s="6" t="s">
        <v>31</v>
      </c>
      <c r="I263" s="6" t="str">
        <f aca="false">IF(G263&lt;D263,"più caro",IF(G263&gt;E263,"più economico","in fascia"))</f>
        <v>più caro</v>
      </c>
      <c r="J263" s="8" t="n">
        <f aca="false">IF(G263&lt;D263,(D263-G263)/G263,IF(G263&gt;E263,(E263-G263)/G263,0))</f>
        <v>0.155327342747112</v>
      </c>
    </row>
    <row r="264" customFormat="false" ht="15" hidden="false" customHeight="false" outlineLevel="0" collapsed="false">
      <c r="A264" s="6" t="s">
        <v>633</v>
      </c>
      <c r="B264" s="6" t="s">
        <v>613</v>
      </c>
      <c r="C264" s="6" t="s">
        <v>634</v>
      </c>
      <c r="D264" s="7" t="n">
        <v>6.3</v>
      </c>
      <c r="E264" s="7" t="n">
        <v>6.3</v>
      </c>
      <c r="F264" s="6" t="n">
        <v>1</v>
      </c>
      <c r="G264" s="7" t="n">
        <v>6.59</v>
      </c>
      <c r="H264" s="6" t="s">
        <v>31</v>
      </c>
      <c r="I264" s="6" t="str">
        <f aca="false">IF(G264&lt;D264,"più caro",IF(G264&gt;E264,"più economico","in fascia"))</f>
        <v>più economico</v>
      </c>
      <c r="J264" s="8" t="n">
        <f aca="false">IF(G264&lt;D264,(D264-G264)/G264,IF(G264&gt;E264,(E264-G264)/G264,0))</f>
        <v>-0.0440060698027314</v>
      </c>
    </row>
    <row r="265" customFormat="false" ht="15" hidden="false" customHeight="false" outlineLevel="0" collapsed="false">
      <c r="A265" s="6" t="s">
        <v>635</v>
      </c>
      <c r="B265" s="6" t="s">
        <v>636</v>
      </c>
      <c r="C265" s="6" t="s">
        <v>637</v>
      </c>
      <c r="D265" s="7" t="n">
        <v>7.5</v>
      </c>
      <c r="E265" s="7" t="n">
        <v>7.5</v>
      </c>
      <c r="F265" s="6" t="n">
        <v>1</v>
      </c>
      <c r="G265" s="7" t="n">
        <v>5.99</v>
      </c>
      <c r="H265" s="6" t="s">
        <v>31</v>
      </c>
      <c r="I265" s="6" t="str">
        <f aca="false">IF(G265&lt;D265,"più caro",IF(G265&gt;E265,"più economico","in fascia"))</f>
        <v>più caro</v>
      </c>
      <c r="J265" s="8" t="n">
        <f aca="false">IF(G265&lt;D265,(D265-G265)/G265,IF(G265&gt;E265,(E265-G265)/G265,0))</f>
        <v>0.252086811352254</v>
      </c>
    </row>
    <row r="266" customFormat="false" ht="15" hidden="false" customHeight="false" outlineLevel="0" collapsed="false">
      <c r="A266" s="6" t="s">
        <v>638</v>
      </c>
      <c r="B266" s="6" t="s">
        <v>636</v>
      </c>
      <c r="C266" s="6" t="s">
        <v>639</v>
      </c>
      <c r="D266" s="7" t="n">
        <v>5.89</v>
      </c>
      <c r="E266" s="7" t="n">
        <v>5.89</v>
      </c>
      <c r="F266" s="6" t="n">
        <v>1</v>
      </c>
      <c r="G266" s="7" t="n">
        <v>4.59</v>
      </c>
      <c r="H266" s="6" t="s">
        <v>31</v>
      </c>
      <c r="I266" s="6" t="str">
        <f aca="false">IF(G266&lt;D266,"più caro",IF(G266&gt;E266,"più economico","in fascia"))</f>
        <v>più caro</v>
      </c>
      <c r="J266" s="8" t="n">
        <f aca="false">IF(G266&lt;D266,(D266-G266)/G266,IF(G266&gt;E266,(E266-G266)/G266,0))</f>
        <v>0.28322440087146</v>
      </c>
    </row>
    <row r="267" customFormat="false" ht="15" hidden="false" customHeight="false" outlineLevel="0" collapsed="false">
      <c r="A267" s="6" t="s">
        <v>640</v>
      </c>
      <c r="B267" s="6" t="s">
        <v>636</v>
      </c>
      <c r="C267" s="6" t="s">
        <v>641</v>
      </c>
      <c r="D267" s="7" t="n">
        <v>5.89</v>
      </c>
      <c r="E267" s="7" t="n">
        <v>5.89</v>
      </c>
      <c r="F267" s="6" t="n">
        <v>2</v>
      </c>
      <c r="G267" s="7" t="n">
        <v>2.54</v>
      </c>
      <c r="H267" s="6" t="s">
        <v>31</v>
      </c>
      <c r="I267" s="6" t="str">
        <f aca="false">IF(G267&lt;D267,"più caro",IF(G267&gt;E267,"più economico","in fascia"))</f>
        <v>più caro</v>
      </c>
      <c r="J267" s="8" t="n">
        <f aca="false">IF(G267&lt;D267,(D267-G267)/G267,IF(G267&gt;E267,(E267-G267)/G267,0))</f>
        <v>1.31889763779528</v>
      </c>
    </row>
    <row r="268" customFormat="false" ht="15" hidden="false" customHeight="false" outlineLevel="0" collapsed="false">
      <c r="A268" s="6" t="s">
        <v>642</v>
      </c>
      <c r="B268" s="6" t="s">
        <v>636</v>
      </c>
      <c r="C268" s="6" t="s">
        <v>643</v>
      </c>
      <c r="D268" s="7" t="n">
        <v>3.95</v>
      </c>
      <c r="E268" s="7" t="n">
        <v>3.95</v>
      </c>
      <c r="F268" s="6" t="n">
        <v>1</v>
      </c>
      <c r="G268" s="7" t="n">
        <v>4.59</v>
      </c>
      <c r="H268" s="6" t="s">
        <v>31</v>
      </c>
      <c r="I268" s="6" t="str">
        <f aca="false">IF(G268&lt;D268,"più caro",IF(G268&gt;E268,"più economico","in fascia"))</f>
        <v>più economico</v>
      </c>
      <c r="J268" s="8" t="n">
        <f aca="false">IF(G268&lt;D268,(D268-G268)/G268,IF(G268&gt;E268,(E268-G268)/G268,0))</f>
        <v>-0.139433551198257</v>
      </c>
    </row>
    <row r="269" customFormat="false" ht="15" hidden="false" customHeight="false" outlineLevel="0" collapsed="false">
      <c r="A269" s="6" t="s">
        <v>644</v>
      </c>
      <c r="B269" s="6" t="s">
        <v>636</v>
      </c>
      <c r="C269" s="6" t="s">
        <v>645</v>
      </c>
      <c r="D269" s="7" t="n">
        <v>2.95</v>
      </c>
      <c r="E269" s="7" t="n">
        <v>2.95</v>
      </c>
      <c r="F269" s="6" t="n">
        <v>1</v>
      </c>
      <c r="G269" s="7" t="n">
        <v>2.95</v>
      </c>
      <c r="H269" s="6" t="s">
        <v>31</v>
      </c>
      <c r="I269" s="6" t="str">
        <f aca="false">IF(G269&lt;D269,"più caro",IF(G269&gt;E269,"più economico","in fascia"))</f>
        <v>in fascia</v>
      </c>
      <c r="J269" s="8" t="n">
        <f aca="false">IF(G269&lt;D269,(D269-G269)/G269,IF(G269&gt;E269,(E269-G269)/G269,0))</f>
        <v>0</v>
      </c>
    </row>
    <row r="270" customFormat="false" ht="15" hidden="false" customHeight="false" outlineLevel="0" collapsed="false">
      <c r="A270" s="6" t="s">
        <v>647</v>
      </c>
      <c r="B270" s="6" t="s">
        <v>636</v>
      </c>
      <c r="C270" s="6" t="s">
        <v>648</v>
      </c>
      <c r="D270" s="7" t="n">
        <v>13.95</v>
      </c>
      <c r="E270" s="7" t="n">
        <v>13.95</v>
      </c>
      <c r="F270" s="6" t="n">
        <v>1</v>
      </c>
      <c r="G270" s="7" t="n">
        <v>6.99</v>
      </c>
      <c r="H270" s="6" t="s">
        <v>31</v>
      </c>
      <c r="I270" s="6" t="str">
        <f aca="false">IF(G270&lt;D270,"più caro",IF(G270&gt;E270,"più economico","in fascia"))</f>
        <v>più caro</v>
      </c>
      <c r="J270" s="8" t="n">
        <f aca="false">IF(G270&lt;D270,(D270-G270)/G270,IF(G270&gt;E270,(E270-G270)/G270,0))</f>
        <v>0.995708154506438</v>
      </c>
    </row>
    <row r="271" customFormat="false" ht="15" hidden="false" customHeight="false" outlineLevel="0" collapsed="false">
      <c r="A271" s="6" t="s">
        <v>650</v>
      </c>
      <c r="B271" s="6" t="s">
        <v>636</v>
      </c>
      <c r="C271" s="6" t="s">
        <v>651</v>
      </c>
      <c r="D271" s="7" t="n">
        <v>14.9</v>
      </c>
      <c r="E271" s="7" t="n">
        <v>14.9</v>
      </c>
      <c r="F271" s="6" t="n">
        <v>1</v>
      </c>
      <c r="G271" s="7" t="n">
        <v>6.99</v>
      </c>
      <c r="H271" s="6" t="s">
        <v>31</v>
      </c>
      <c r="I271" s="6" t="str">
        <f aca="false">IF(G271&lt;D271,"più caro",IF(G271&gt;E271,"più economico","in fascia"))</f>
        <v>più caro</v>
      </c>
      <c r="J271" s="8" t="n">
        <f aca="false">IF(G271&lt;D271,(D271-G271)/G271,IF(G271&gt;E271,(E271-G271)/G271,0))</f>
        <v>1.13161659513591</v>
      </c>
    </row>
    <row r="272" customFormat="false" ht="15" hidden="false" customHeight="false" outlineLevel="0" collapsed="false">
      <c r="A272" s="6" t="s">
        <v>652</v>
      </c>
      <c r="B272" s="6" t="s">
        <v>636</v>
      </c>
      <c r="C272" s="6" t="s">
        <v>653</v>
      </c>
      <c r="D272" s="7" t="n">
        <v>6.9</v>
      </c>
      <c r="E272" s="7" t="n">
        <v>6.9</v>
      </c>
      <c r="F272" s="6" t="n">
        <v>1</v>
      </c>
      <c r="G272" s="7" t="n">
        <v>5.18</v>
      </c>
      <c r="H272" s="6" t="s">
        <v>31</v>
      </c>
      <c r="I272" s="6" t="str">
        <f aca="false">IF(G272&lt;D272,"più caro",IF(G272&gt;E272,"più economico","in fascia"))</f>
        <v>più caro</v>
      </c>
      <c r="J272" s="8" t="n">
        <f aca="false">IF(G272&lt;D272,(D272-G272)/G272,IF(G272&gt;E272,(E272-G272)/G272,0))</f>
        <v>0.332046332046332</v>
      </c>
    </row>
    <row r="273" customFormat="false" ht="15" hidden="false" customHeight="false" outlineLevel="0" collapsed="false">
      <c r="A273" s="6" t="s">
        <v>654</v>
      </c>
      <c r="B273" s="6" t="s">
        <v>655</v>
      </c>
      <c r="C273" s="6" t="s">
        <v>656</v>
      </c>
      <c r="D273" s="7" t="n">
        <v>6.69</v>
      </c>
      <c r="E273" s="7" t="n">
        <v>6.69</v>
      </c>
      <c r="F273" s="6" t="n">
        <v>1</v>
      </c>
      <c r="G273" s="7" t="n">
        <v>6.69</v>
      </c>
      <c r="H273" s="6" t="s">
        <v>31</v>
      </c>
      <c r="I273" s="6" t="str">
        <f aca="false">IF(G273&lt;D273,"più caro",IF(G273&gt;E273,"più economico","in fascia"))</f>
        <v>in fascia</v>
      </c>
      <c r="J273" s="8" t="n">
        <f aca="false">IF(G273&lt;D273,(D273-G273)/G273,IF(G273&gt;E273,(E273-G273)/G273,0))</f>
        <v>0</v>
      </c>
    </row>
    <row r="274" customFormat="false" ht="15" hidden="false" customHeight="false" outlineLevel="0" collapsed="false">
      <c r="A274" s="6" t="s">
        <v>657</v>
      </c>
      <c r="B274" s="6" t="s">
        <v>655</v>
      </c>
      <c r="C274" s="6" t="s">
        <v>658</v>
      </c>
      <c r="D274" s="7" t="n">
        <v>4.99</v>
      </c>
      <c r="E274" s="7" t="n">
        <v>4.99</v>
      </c>
      <c r="F274" s="6" t="n">
        <v>1</v>
      </c>
      <c r="G274" s="7" t="n">
        <v>4.59</v>
      </c>
      <c r="H274" s="6" t="s">
        <v>31</v>
      </c>
      <c r="I274" s="6" t="str">
        <f aca="false">IF(G274&lt;D274,"più caro",IF(G274&gt;E274,"più economico","in fascia"))</f>
        <v>più caro</v>
      </c>
      <c r="J274" s="8" t="n">
        <f aca="false">IF(G274&lt;D274,(D274-G274)/G274,IF(G274&gt;E274,(E274-G274)/G274,0))</f>
        <v>0.0871459694989108</v>
      </c>
    </row>
    <row r="275" customFormat="false" ht="15" hidden="false" customHeight="false" outlineLevel="0" collapsed="false">
      <c r="A275" s="6" t="s">
        <v>659</v>
      </c>
      <c r="B275" s="6" t="s">
        <v>655</v>
      </c>
      <c r="C275" s="6" t="s">
        <v>660</v>
      </c>
      <c r="D275" s="7" t="n">
        <v>13.99</v>
      </c>
      <c r="E275" s="7" t="n">
        <v>13.99</v>
      </c>
      <c r="F275" s="6" t="n">
        <v>1</v>
      </c>
      <c r="G275" s="7" t="n">
        <v>13.49</v>
      </c>
      <c r="H275" s="6" t="s">
        <v>31</v>
      </c>
      <c r="I275" s="6" t="str">
        <f aca="false">IF(G275&lt;D275,"più caro",IF(G275&gt;E275,"più economico","in fascia"))</f>
        <v>più caro</v>
      </c>
      <c r="J275" s="8" t="n">
        <f aca="false">IF(G275&lt;D275,(D275-G275)/G275,IF(G275&gt;E275,(E275-G275)/G275,0))</f>
        <v>0.0370644922164566</v>
      </c>
    </row>
    <row r="276" customFormat="false" ht="15" hidden="false" customHeight="false" outlineLevel="0" collapsed="false">
      <c r="A276" s="6" t="s">
        <v>661</v>
      </c>
      <c r="B276" s="6" t="s">
        <v>655</v>
      </c>
      <c r="C276" s="6" t="s">
        <v>662</v>
      </c>
      <c r="D276" s="7" t="n">
        <v>5.5</v>
      </c>
      <c r="E276" s="7" t="n">
        <v>7.4</v>
      </c>
      <c r="F276" s="6" t="n">
        <v>1</v>
      </c>
      <c r="G276" s="7" t="n">
        <v>6.49</v>
      </c>
      <c r="H276" s="6" t="s">
        <v>31</v>
      </c>
      <c r="I276" s="6" t="str">
        <f aca="false">IF(G276&lt;D276,"più caro",IF(G276&gt;E276,"più economico","in fascia"))</f>
        <v>in fascia</v>
      </c>
      <c r="J276" s="8" t="n">
        <f aca="false">IF(G276&lt;D276,(D276-G276)/G276,IF(G276&gt;E276,(E276-G276)/G276,0))</f>
        <v>0</v>
      </c>
    </row>
    <row r="277" customFormat="false" ht="15" hidden="false" customHeight="false" outlineLevel="0" collapsed="false">
      <c r="A277" s="6" t="s">
        <v>663</v>
      </c>
      <c r="B277" s="6" t="s">
        <v>655</v>
      </c>
      <c r="C277" s="6" t="s">
        <v>664</v>
      </c>
      <c r="D277" s="7" t="n">
        <v>3.79</v>
      </c>
      <c r="E277" s="7" t="n">
        <v>4.5</v>
      </c>
      <c r="F277" s="6" t="n">
        <v>1</v>
      </c>
      <c r="G277" s="7" t="n">
        <v>3.99</v>
      </c>
      <c r="H277" s="6" t="s">
        <v>31</v>
      </c>
      <c r="I277" s="6" t="str">
        <f aca="false">IF(G277&lt;D277,"più caro",IF(G277&gt;E277,"più economico","in fascia"))</f>
        <v>in fascia</v>
      </c>
      <c r="J277" s="8" t="n">
        <f aca="false">IF(G277&lt;D277,(D277-G277)/G277,IF(G277&gt;E277,(E277-G277)/G277,0))</f>
        <v>0</v>
      </c>
    </row>
    <row r="278" customFormat="false" ht="15" hidden="false" customHeight="false" outlineLevel="0" collapsed="false">
      <c r="A278" s="6" t="s">
        <v>665</v>
      </c>
      <c r="B278" s="6" t="s">
        <v>666</v>
      </c>
      <c r="C278" s="6" t="s">
        <v>667</v>
      </c>
      <c r="D278" s="7" t="n">
        <v>5</v>
      </c>
      <c r="E278" s="7" t="n">
        <v>5</v>
      </c>
      <c r="F278" s="6" t="n">
        <v>1</v>
      </c>
      <c r="G278" s="7" t="n">
        <v>7.9</v>
      </c>
      <c r="H278" s="6" t="s">
        <v>147</v>
      </c>
      <c r="I278" s="6" t="str">
        <f aca="false">IF(G278&lt;D278,"più caro",IF(G278&gt;E278,"più economico","in fascia"))</f>
        <v>più economico</v>
      </c>
      <c r="J278" s="8" t="n">
        <f aca="false">IF(G278&lt;D278,(D278-G278)/G278,IF(G278&gt;E278,(E278-G278)/G278,0))</f>
        <v>-0.367088607594937</v>
      </c>
    </row>
    <row r="279" customFormat="false" ht="15" hidden="false" customHeight="false" outlineLevel="0" collapsed="false">
      <c r="A279" s="6" t="s">
        <v>668</v>
      </c>
      <c r="B279" s="6" t="s">
        <v>669</v>
      </c>
      <c r="C279" s="6" t="s">
        <v>670</v>
      </c>
      <c r="D279" s="7" t="n">
        <v>6.9</v>
      </c>
      <c r="E279" s="7" t="n">
        <v>6.9</v>
      </c>
      <c r="F279" s="6" t="n">
        <v>1</v>
      </c>
      <c r="G279" s="7" t="n">
        <v>6.49</v>
      </c>
      <c r="H279" s="6" t="s">
        <v>31</v>
      </c>
      <c r="I279" s="6" t="str">
        <f aca="false">IF(G279&lt;D279,"più caro",IF(G279&gt;E279,"più economico","in fascia"))</f>
        <v>più caro</v>
      </c>
      <c r="J279" s="8" t="n">
        <f aca="false">IF(G279&lt;D279,(D279-G279)/G279,IF(G279&gt;E279,(E279-G279)/G279,0))</f>
        <v>0.0631741140215717</v>
      </c>
    </row>
    <row r="280" customFormat="false" ht="15" hidden="false" customHeight="false" outlineLevel="0" collapsed="false">
      <c r="A280" s="6" t="s">
        <v>671</v>
      </c>
      <c r="B280" s="6" t="s">
        <v>669</v>
      </c>
      <c r="C280" s="6" t="s">
        <v>672</v>
      </c>
      <c r="D280" s="7" t="n">
        <v>6.9</v>
      </c>
      <c r="E280" s="7" t="n">
        <v>6.9</v>
      </c>
      <c r="F280" s="6" t="n">
        <v>1</v>
      </c>
      <c r="G280" s="7" t="n">
        <v>5.99</v>
      </c>
      <c r="H280" s="6" t="s">
        <v>31</v>
      </c>
      <c r="I280" s="6" t="str">
        <f aca="false">IF(G280&lt;D280,"più caro",IF(G280&gt;E280,"più economico","in fascia"))</f>
        <v>più caro</v>
      </c>
      <c r="J280" s="8" t="n">
        <f aca="false">IF(G280&lt;D280,(D280-G280)/G280,IF(G280&gt;E280,(E280-G280)/G280,0))</f>
        <v>0.151919866444074</v>
      </c>
    </row>
    <row r="281" customFormat="false" ht="15" hidden="false" customHeight="false" outlineLevel="0" collapsed="false">
      <c r="A281" s="6" t="s">
        <v>673</v>
      </c>
      <c r="B281" s="6" t="s">
        <v>669</v>
      </c>
      <c r="C281" s="6" t="s">
        <v>674</v>
      </c>
      <c r="D281" s="7" t="n">
        <v>8.5</v>
      </c>
      <c r="E281" s="7" t="n">
        <v>8.5</v>
      </c>
      <c r="F281" s="6" t="n">
        <v>1</v>
      </c>
      <c r="G281" s="7" t="n">
        <v>7.1</v>
      </c>
      <c r="H281" s="6" t="s">
        <v>31</v>
      </c>
      <c r="I281" s="6" t="str">
        <f aca="false">IF(G281&lt;D281,"più caro",IF(G281&gt;E281,"più economico","in fascia"))</f>
        <v>più caro</v>
      </c>
      <c r="J281" s="8" t="n">
        <f aca="false">IF(G281&lt;D281,(D281-G281)/G281,IF(G281&gt;E281,(E281-G281)/G281,0))</f>
        <v>0.197183098591549</v>
      </c>
    </row>
    <row r="282" customFormat="false" ht="15" hidden="false" customHeight="false" outlineLevel="0" collapsed="false">
      <c r="A282" s="6" t="s">
        <v>675</v>
      </c>
      <c r="B282" s="6" t="s">
        <v>669</v>
      </c>
      <c r="C282" s="6" t="s">
        <v>676</v>
      </c>
      <c r="D282" s="7" t="n">
        <v>8.5</v>
      </c>
      <c r="E282" s="7" t="n">
        <v>8.5</v>
      </c>
      <c r="F282" s="6" t="n">
        <v>1</v>
      </c>
      <c r="G282" s="7" t="n">
        <v>7.1</v>
      </c>
      <c r="H282" s="6" t="s">
        <v>31</v>
      </c>
      <c r="I282" s="6" t="str">
        <f aca="false">IF(G282&lt;D282,"più caro",IF(G282&gt;E282,"più economico","in fascia"))</f>
        <v>più caro</v>
      </c>
      <c r="J282" s="8" t="n">
        <f aca="false">IF(G282&lt;D282,(D282-G282)/G282,IF(G282&gt;E282,(E282-G282)/G282,0))</f>
        <v>0.197183098591549</v>
      </c>
    </row>
    <row r="283" customFormat="false" ht="15" hidden="false" customHeight="false" outlineLevel="0" collapsed="false">
      <c r="A283" s="6" t="s">
        <v>677</v>
      </c>
      <c r="B283" s="6" t="s">
        <v>678</v>
      </c>
      <c r="C283" s="6" t="s">
        <v>679</v>
      </c>
      <c r="D283" s="7" t="n">
        <v>6.95</v>
      </c>
      <c r="E283" s="7" t="n">
        <v>6.95</v>
      </c>
      <c r="F283" s="6" t="n">
        <v>1</v>
      </c>
      <c r="G283" s="7" t="n">
        <v>6.9</v>
      </c>
      <c r="H283" s="6" t="s">
        <v>31</v>
      </c>
      <c r="I283" s="6" t="str">
        <f aca="false">IF(G283&lt;D283,"più caro",IF(G283&gt;E283,"più economico","in fascia"))</f>
        <v>più caro</v>
      </c>
      <c r="J283" s="8" t="n">
        <f aca="false">IF(G283&lt;D283,(D283-G283)/G283,IF(G283&gt;E283,(E283-G283)/G283,0))</f>
        <v>0.00724637681159418</v>
      </c>
    </row>
    <row r="284" customFormat="false" ht="15" hidden="false" customHeight="false" outlineLevel="0" collapsed="false">
      <c r="A284" s="6" t="s">
        <v>680</v>
      </c>
      <c r="B284" s="6" t="s">
        <v>681</v>
      </c>
      <c r="C284" s="6" t="s">
        <v>682</v>
      </c>
      <c r="D284" s="7" t="n">
        <v>149.9</v>
      </c>
      <c r="E284" s="7" t="n">
        <v>155</v>
      </c>
      <c r="F284" s="6" t="n">
        <v>1</v>
      </c>
      <c r="G284" s="7" t="n">
        <v>139</v>
      </c>
      <c r="H284" s="6" t="s">
        <v>147</v>
      </c>
      <c r="I284" s="6" t="str">
        <f aca="false">IF(G284&lt;D284,"più caro",IF(G284&gt;E284,"più economico","in fascia"))</f>
        <v>più caro</v>
      </c>
      <c r="J284" s="8" t="n">
        <f aca="false">IF(G284&lt;D284,(D284-G284)/G284,IF(G284&gt;E284,(E284-G284)/G284,0))</f>
        <v>0.0784172661870504</v>
      </c>
    </row>
    <row r="285" customFormat="false" ht="15" hidden="false" customHeight="false" outlineLevel="0" collapsed="false">
      <c r="A285" s="6" t="s">
        <v>683</v>
      </c>
      <c r="B285" s="6" t="s">
        <v>684</v>
      </c>
      <c r="C285" s="6" t="s">
        <v>685</v>
      </c>
      <c r="D285" s="7" t="n">
        <v>165</v>
      </c>
      <c r="E285" s="7" t="n">
        <v>175</v>
      </c>
      <c r="F285" s="6" t="n">
        <v>1</v>
      </c>
      <c r="G285" s="7" t="n">
        <v>140</v>
      </c>
      <c r="H285" s="6" t="s">
        <v>147</v>
      </c>
      <c r="I285" s="6" t="str">
        <f aca="false">IF(G285&lt;D285,"più caro",IF(G285&gt;E285,"più economico","in fascia"))</f>
        <v>più caro</v>
      </c>
      <c r="J285" s="8" t="n">
        <f aca="false">IF(G285&lt;D285,(D285-G285)/G285,IF(G285&gt;E285,(E285-G285)/G285,0))</f>
        <v>0.178571428571429</v>
      </c>
    </row>
    <row r="286" customFormat="false" ht="15" hidden="false" customHeight="false" outlineLevel="0" collapsed="false">
      <c r="A286" s="6" t="s">
        <v>686</v>
      </c>
      <c r="B286" s="6" t="s">
        <v>684</v>
      </c>
      <c r="C286" s="6" t="s">
        <v>687</v>
      </c>
      <c r="D286" s="7" t="n">
        <v>165</v>
      </c>
      <c r="E286" s="7" t="n">
        <v>185</v>
      </c>
      <c r="F286" s="6" t="n">
        <v>1</v>
      </c>
      <c r="G286" s="7" t="n">
        <v>149</v>
      </c>
      <c r="H286" s="6" t="s">
        <v>147</v>
      </c>
      <c r="I286" s="6" t="str">
        <f aca="false">IF(G286&lt;D286,"più caro",IF(G286&gt;E286,"più economico","in fascia"))</f>
        <v>più caro</v>
      </c>
      <c r="J286" s="8" t="n">
        <f aca="false">IF(G286&lt;D286,(D286-G286)/G286,IF(G286&gt;E286,(E286-G286)/G286,0))</f>
        <v>0.10738255033557</v>
      </c>
    </row>
    <row r="287" customFormat="false" ht="15" hidden="false" customHeight="false" outlineLevel="0" collapsed="false">
      <c r="A287" s="6" t="s">
        <v>688</v>
      </c>
      <c r="B287" s="6" t="s">
        <v>684</v>
      </c>
      <c r="C287" s="6" t="s">
        <v>689</v>
      </c>
      <c r="D287" s="7" t="n">
        <v>16.9</v>
      </c>
      <c r="E287" s="7" t="n">
        <v>16.9</v>
      </c>
      <c r="F287" s="6" t="n">
        <v>1</v>
      </c>
      <c r="G287" s="7" t="n">
        <v>6.95</v>
      </c>
      <c r="H287" s="6" t="s">
        <v>226</v>
      </c>
      <c r="I287" s="6" t="str">
        <f aca="false">IF(G287&lt;D287,"più caro",IF(G287&gt;E287,"più economico","in fascia"))</f>
        <v>più caro</v>
      </c>
      <c r="J287" s="8" t="n">
        <f aca="false">IF(G287&lt;D287,(D287-G287)/G287,IF(G287&gt;E287,(E287-G287)/G287,0))</f>
        <v>1.43165467625899</v>
      </c>
    </row>
    <row r="288" customFormat="false" ht="15" hidden="false" customHeight="false" outlineLevel="0" collapsed="false">
      <c r="A288" s="6" t="s">
        <v>690</v>
      </c>
      <c r="B288" s="6" t="s">
        <v>684</v>
      </c>
      <c r="C288" s="6" t="s">
        <v>691</v>
      </c>
      <c r="D288" s="7" t="n">
        <v>74.7</v>
      </c>
      <c r="E288" s="7" t="n">
        <v>80</v>
      </c>
      <c r="F288" s="6" t="n">
        <v>1</v>
      </c>
      <c r="G288" s="7" t="n">
        <v>59</v>
      </c>
      <c r="H288" s="6" t="s">
        <v>147</v>
      </c>
      <c r="I288" s="6" t="str">
        <f aca="false">IF(G288&lt;D288,"più caro",IF(G288&gt;E288,"più economico","in fascia"))</f>
        <v>più caro</v>
      </c>
      <c r="J288" s="8" t="n">
        <f aca="false">IF(G288&lt;D288,(D288-G288)/G288,IF(G288&gt;E288,(E288-G288)/G288,0))</f>
        <v>0.266101694915254</v>
      </c>
    </row>
    <row r="289" customFormat="false" ht="15" hidden="false" customHeight="false" outlineLevel="0" collapsed="false">
      <c r="A289" s="6" t="s">
        <v>692</v>
      </c>
      <c r="B289" s="6" t="s">
        <v>684</v>
      </c>
      <c r="C289" s="6" t="s">
        <v>693</v>
      </c>
      <c r="D289" s="7" t="n">
        <v>11.9</v>
      </c>
      <c r="E289" s="7" t="n">
        <v>11.9</v>
      </c>
      <c r="F289" s="6" t="n">
        <v>1</v>
      </c>
      <c r="G289" s="7" t="n">
        <v>9.59</v>
      </c>
      <c r="H289" s="6" t="s">
        <v>226</v>
      </c>
      <c r="I289" s="6" t="str">
        <f aca="false">IF(G289&lt;D289,"più caro",IF(G289&gt;E289,"più economico","in fascia"))</f>
        <v>più caro</v>
      </c>
      <c r="J289" s="8" t="n">
        <f aca="false">IF(G289&lt;D289,(D289-G289)/G289,IF(G289&gt;E289,(E289-G289)/G289,0))</f>
        <v>0.240875912408759</v>
      </c>
    </row>
    <row r="290" customFormat="false" ht="15" hidden="false" customHeight="false" outlineLevel="0" collapsed="false">
      <c r="A290" s="6" t="s">
        <v>694</v>
      </c>
      <c r="B290" s="6" t="s">
        <v>695</v>
      </c>
      <c r="C290" s="6" t="s">
        <v>696</v>
      </c>
      <c r="D290" s="7" t="n">
        <v>4.3</v>
      </c>
      <c r="E290" s="7" t="n">
        <v>4.8</v>
      </c>
      <c r="F290" s="6" t="n">
        <v>1</v>
      </c>
      <c r="G290" s="7" t="n">
        <v>3.49</v>
      </c>
      <c r="H290" s="6" t="s">
        <v>31</v>
      </c>
      <c r="I290" s="6" t="str">
        <f aca="false">IF(G290&lt;D290,"più caro",IF(G290&gt;E290,"più economico","in fascia"))</f>
        <v>più caro</v>
      </c>
      <c r="J290" s="8" t="n">
        <f aca="false">IF(G290&lt;D290,(D290-G290)/G290,IF(G290&gt;E290,(E290-G290)/G290,0))</f>
        <v>0.232091690544412</v>
      </c>
    </row>
    <row r="291" customFormat="false" ht="15" hidden="false" customHeight="false" outlineLevel="0" collapsed="false">
      <c r="A291" s="6" t="s">
        <v>697</v>
      </c>
      <c r="B291" s="6" t="s">
        <v>698</v>
      </c>
      <c r="C291" s="6" t="s">
        <v>699</v>
      </c>
      <c r="D291" s="7" t="n">
        <v>26.5</v>
      </c>
      <c r="E291" s="7" t="n">
        <v>26.5</v>
      </c>
      <c r="F291" s="6" t="n">
        <v>1</v>
      </c>
      <c r="G291" s="7" t="n">
        <v>18.99</v>
      </c>
      <c r="H291" s="6" t="s">
        <v>31</v>
      </c>
      <c r="I291" s="6" t="str">
        <f aca="false">IF(G291&lt;D291,"più caro",IF(G291&gt;E291,"più economico","in fascia"))</f>
        <v>più caro</v>
      </c>
      <c r="J291" s="8" t="n">
        <f aca="false">IF(G291&lt;D291,(D291-G291)/G291,IF(G291&gt;E291,(E291-G291)/G291,0))</f>
        <v>0.395471300684571</v>
      </c>
    </row>
    <row r="292" customFormat="false" ht="15" hidden="false" customHeight="false" outlineLevel="0" collapsed="false">
      <c r="A292" s="6" t="s">
        <v>700</v>
      </c>
      <c r="B292" s="6" t="s">
        <v>698</v>
      </c>
      <c r="C292" s="6" t="s">
        <v>701</v>
      </c>
      <c r="D292" s="7" t="n">
        <v>25</v>
      </c>
      <c r="E292" s="7" t="n">
        <v>25</v>
      </c>
      <c r="F292" s="6" t="n">
        <v>1</v>
      </c>
      <c r="G292" s="7" t="n">
        <v>17.09</v>
      </c>
      <c r="H292" s="6" t="s">
        <v>31</v>
      </c>
      <c r="I292" s="6" t="str">
        <f aca="false">IF(G292&lt;D292,"più caro",IF(G292&gt;E292,"più economico","in fascia"))</f>
        <v>più caro</v>
      </c>
      <c r="J292" s="8" t="n">
        <f aca="false">IF(G292&lt;D292,(D292-G292)/G292,IF(G292&gt;E292,(E292-G292)/G292,0))</f>
        <v>0.462843768285547</v>
      </c>
    </row>
    <row r="293" customFormat="false" ht="15" hidden="false" customHeight="false" outlineLevel="0" collapsed="false">
      <c r="A293" s="6" t="s">
        <v>702</v>
      </c>
      <c r="B293" s="6" t="s">
        <v>703</v>
      </c>
      <c r="C293" s="6" t="s">
        <v>704</v>
      </c>
      <c r="D293" s="7" t="n">
        <v>5.6</v>
      </c>
      <c r="E293" s="7" t="n">
        <v>6</v>
      </c>
      <c r="F293" s="6" t="n">
        <v>1</v>
      </c>
      <c r="G293" s="7" t="n">
        <v>3.59</v>
      </c>
      <c r="H293" s="6" t="s">
        <v>31</v>
      </c>
      <c r="I293" s="6" t="str">
        <f aca="false">IF(G293&lt;D293,"più caro",IF(G293&gt;E293,"più economico","in fascia"))</f>
        <v>più caro</v>
      </c>
      <c r="J293" s="8" t="n">
        <f aca="false">IF(G293&lt;D293,(D293-G293)/G293,IF(G293&gt;E293,(E293-G293)/G293,0))</f>
        <v>0.559888579387187</v>
      </c>
    </row>
    <row r="294" customFormat="false" ht="15" hidden="false" customHeight="false" outlineLevel="0" collapsed="false">
      <c r="A294" s="6" t="s">
        <v>705</v>
      </c>
      <c r="B294" s="6" t="s">
        <v>703</v>
      </c>
      <c r="C294" s="6" t="s">
        <v>706</v>
      </c>
      <c r="D294" s="7" t="n">
        <v>11.9</v>
      </c>
      <c r="E294" s="7" t="n">
        <v>11.9</v>
      </c>
      <c r="F294" s="6" t="n">
        <v>1</v>
      </c>
      <c r="G294" s="7" t="n">
        <v>7.99</v>
      </c>
      <c r="H294" s="6" t="s">
        <v>31</v>
      </c>
      <c r="I294" s="6" t="str">
        <f aca="false">IF(G294&lt;D294,"più caro",IF(G294&gt;E294,"più economico","in fascia"))</f>
        <v>più caro</v>
      </c>
      <c r="J294" s="8" t="n">
        <f aca="false">IF(G294&lt;D294,(D294-G294)/G294,IF(G294&gt;E294,(E294-G294)/G294,0))</f>
        <v>0.48936170212766</v>
      </c>
    </row>
    <row r="295" customFormat="false" ht="15" hidden="false" customHeight="false" outlineLevel="0" collapsed="false">
      <c r="A295" s="6" t="s">
        <v>707</v>
      </c>
      <c r="B295" s="6" t="s">
        <v>703</v>
      </c>
      <c r="C295" s="6" t="s">
        <v>708</v>
      </c>
      <c r="D295" s="7" t="n">
        <v>8.9</v>
      </c>
      <c r="E295" s="7" t="n">
        <v>8.9</v>
      </c>
      <c r="F295" s="6" t="n">
        <v>1</v>
      </c>
      <c r="G295" s="7" t="n">
        <v>5.99</v>
      </c>
      <c r="H295" s="6" t="s">
        <v>31</v>
      </c>
      <c r="I295" s="6" t="str">
        <f aca="false">IF(G295&lt;D295,"più caro",IF(G295&gt;E295,"più economico","in fascia"))</f>
        <v>più caro</v>
      </c>
      <c r="J295" s="8" t="n">
        <f aca="false">IF(G295&lt;D295,(D295-G295)/G295,IF(G295&gt;E295,(E295-G295)/G295,0))</f>
        <v>0.485809682804674</v>
      </c>
    </row>
    <row r="296" customFormat="false" ht="15" hidden="false" customHeight="false" outlineLevel="0" collapsed="false">
      <c r="A296" s="6" t="s">
        <v>709</v>
      </c>
      <c r="B296" s="6" t="s">
        <v>710</v>
      </c>
      <c r="C296" s="6" t="s">
        <v>711</v>
      </c>
      <c r="D296" s="7" t="n">
        <v>29.9</v>
      </c>
      <c r="E296" s="7" t="n">
        <v>29.9</v>
      </c>
      <c r="F296" s="6" t="n">
        <v>1</v>
      </c>
      <c r="G296" s="7" t="n">
        <v>26</v>
      </c>
      <c r="H296" s="6" t="s">
        <v>147</v>
      </c>
      <c r="I296" s="6" t="str">
        <f aca="false">IF(G296&lt;D296,"più caro",IF(G296&gt;E296,"più economico","in fascia"))</f>
        <v>più caro</v>
      </c>
      <c r="J296" s="8" t="n">
        <f aca="false">IF(G296&lt;D296,(D296-G296)/G296,IF(G296&gt;E296,(E296-G296)/G296,0))</f>
        <v>0.15</v>
      </c>
    </row>
    <row r="297" customFormat="false" ht="15" hidden="false" customHeight="false" outlineLevel="0" collapsed="false">
      <c r="A297" s="6" t="s">
        <v>713</v>
      </c>
      <c r="B297" s="6" t="s">
        <v>714</v>
      </c>
      <c r="C297" s="6" t="s">
        <v>715</v>
      </c>
      <c r="D297" s="7" t="n">
        <v>59.9</v>
      </c>
      <c r="E297" s="7" t="n">
        <v>59.9</v>
      </c>
      <c r="F297" s="6" t="n">
        <v>4</v>
      </c>
      <c r="G297" s="7" t="n">
        <v>28.18</v>
      </c>
      <c r="H297" s="6" t="s">
        <v>105</v>
      </c>
      <c r="I297" s="6" t="str">
        <f aca="false">IF(G297&lt;D297,"più caro",IF(G297&gt;E297,"più economico","in fascia"))</f>
        <v>più caro</v>
      </c>
      <c r="J297" s="8" t="n">
        <f aca="false">IF(G297&lt;D297,(D297-G297)/G297,IF(G297&gt;E297,(E297-G297)/G297,0))</f>
        <v>1.12562100780696</v>
      </c>
    </row>
    <row r="298" customFormat="false" ht="15" hidden="false" customHeight="false" outlineLevel="0" collapsed="false">
      <c r="A298" s="6" t="s">
        <v>717</v>
      </c>
      <c r="B298" s="6" t="s">
        <v>714</v>
      </c>
      <c r="C298" s="6" t="s">
        <v>718</v>
      </c>
      <c r="D298" s="7" t="n">
        <v>139</v>
      </c>
      <c r="E298" s="7" t="n">
        <v>159</v>
      </c>
      <c r="F298" s="6" t="n">
        <v>3</v>
      </c>
      <c r="G298" s="7" t="n">
        <v>115</v>
      </c>
      <c r="H298" s="6" t="s">
        <v>147</v>
      </c>
      <c r="I298" s="6" t="str">
        <f aca="false">IF(G298&lt;D298,"più caro",IF(G298&gt;E298,"più economico","in fascia"))</f>
        <v>più caro</v>
      </c>
      <c r="J298" s="8" t="n">
        <f aca="false">IF(G298&lt;D298,(D298-G298)/G298,IF(G298&gt;E298,(E298-G298)/G298,0))</f>
        <v>0.208695652173913</v>
      </c>
    </row>
    <row r="299" customFormat="false" ht="15" hidden="false" customHeight="false" outlineLevel="0" collapsed="false">
      <c r="A299" s="6" t="s">
        <v>719</v>
      </c>
      <c r="B299" s="6" t="s">
        <v>714</v>
      </c>
      <c r="C299" s="6" t="s">
        <v>720</v>
      </c>
      <c r="D299" s="7" t="n">
        <v>85</v>
      </c>
      <c r="E299" s="7" t="n">
        <v>110</v>
      </c>
      <c r="F299" s="6" t="n">
        <v>1</v>
      </c>
      <c r="G299" s="7" t="n">
        <v>73</v>
      </c>
      <c r="H299" s="6" t="s">
        <v>147</v>
      </c>
      <c r="I299" s="6" t="str">
        <f aca="false">IF(G299&lt;D299,"più caro",IF(G299&gt;E299,"più economico","in fascia"))</f>
        <v>più caro</v>
      </c>
      <c r="J299" s="8" t="n">
        <f aca="false">IF(G299&lt;D299,(D299-G299)/G299,IF(G299&gt;E299,(E299-G299)/G299,0))</f>
        <v>0.164383561643836</v>
      </c>
    </row>
    <row r="300" customFormat="false" ht="15" hidden="false" customHeight="false" outlineLevel="0" collapsed="false">
      <c r="A300" s="6" t="s">
        <v>721</v>
      </c>
      <c r="B300" s="6" t="s">
        <v>714</v>
      </c>
      <c r="C300" s="6" t="s">
        <v>722</v>
      </c>
      <c r="D300" s="7" t="n">
        <v>189</v>
      </c>
      <c r="E300" s="7" t="n">
        <v>199</v>
      </c>
      <c r="F300" s="6" t="n">
        <v>1</v>
      </c>
      <c r="G300" s="7" t="n">
        <v>146.95</v>
      </c>
      <c r="H300" s="6" t="s">
        <v>39</v>
      </c>
      <c r="I300" s="6" t="str">
        <f aca="false">IF(G300&lt;D300,"più caro",IF(G300&gt;E300,"più economico","in fascia"))</f>
        <v>più caro</v>
      </c>
      <c r="J300" s="8" t="n">
        <f aca="false">IF(G300&lt;D300,(D300-G300)/G300,IF(G300&gt;E300,(E300-G300)/G300,0))</f>
        <v>0.2861517522967</v>
      </c>
    </row>
    <row r="301" customFormat="false" ht="15" hidden="false" customHeight="false" outlineLevel="0" collapsed="false">
      <c r="A301" s="6" t="s">
        <v>724</v>
      </c>
      <c r="B301" s="6" t="s">
        <v>714</v>
      </c>
      <c r="C301" s="6" t="s">
        <v>725</v>
      </c>
      <c r="D301" s="7" t="n">
        <v>69</v>
      </c>
      <c r="E301" s="7" t="n">
        <v>69</v>
      </c>
      <c r="F301" s="6" t="n">
        <v>1</v>
      </c>
      <c r="G301" s="7" t="n">
        <v>62</v>
      </c>
      <c r="H301" s="6" t="s">
        <v>147</v>
      </c>
      <c r="I301" s="6" t="str">
        <f aca="false">IF(G301&lt;D301,"più caro",IF(G301&gt;E301,"più economico","in fascia"))</f>
        <v>più caro</v>
      </c>
      <c r="J301" s="8" t="n">
        <f aca="false">IF(G301&lt;D301,(D301-G301)/G301,IF(G301&gt;E301,(E301-G301)/G301,0))</f>
        <v>0.112903225806452</v>
      </c>
    </row>
    <row r="302" customFormat="false" ht="15" hidden="false" customHeight="false" outlineLevel="0" collapsed="false">
      <c r="A302" s="6" t="s">
        <v>726</v>
      </c>
      <c r="B302" s="6" t="s">
        <v>714</v>
      </c>
      <c r="C302" s="6" t="s">
        <v>727</v>
      </c>
      <c r="D302" s="7" t="n">
        <v>7.9</v>
      </c>
      <c r="E302" s="7" t="n">
        <v>13.5</v>
      </c>
      <c r="F302" s="6" t="n">
        <v>1</v>
      </c>
      <c r="G302" s="7" t="n">
        <v>8.9</v>
      </c>
      <c r="H302" s="6" t="s">
        <v>716</v>
      </c>
      <c r="I302" s="6" t="str">
        <f aca="false">IF(G302&lt;D302,"più caro",IF(G302&gt;E302,"più economico","in fascia"))</f>
        <v>in fascia</v>
      </c>
      <c r="J302" s="8" t="n">
        <f aca="false">IF(G302&lt;D302,(D302-G302)/G302,IF(G302&gt;E302,(E302-G302)/G302,0))</f>
        <v>0</v>
      </c>
    </row>
    <row r="303" customFormat="false" ht="15" hidden="false" customHeight="false" outlineLevel="0" collapsed="false">
      <c r="A303" s="6" t="s">
        <v>728</v>
      </c>
      <c r="B303" s="6" t="s">
        <v>714</v>
      </c>
      <c r="C303" s="6" t="s">
        <v>729</v>
      </c>
      <c r="D303" s="7" t="n">
        <v>49.9</v>
      </c>
      <c r="E303" s="7" t="n">
        <v>49.9</v>
      </c>
      <c r="F303" s="6" t="n">
        <v>1</v>
      </c>
      <c r="G303" s="7" t="n">
        <v>70.6</v>
      </c>
      <c r="H303" s="6" t="s">
        <v>105</v>
      </c>
      <c r="I303" s="6" t="str">
        <f aca="false">IF(G303&lt;D303,"più caro",IF(G303&gt;E303,"più economico","in fascia"))</f>
        <v>più economico</v>
      </c>
      <c r="J303" s="8" t="n">
        <f aca="false">IF(G303&lt;D303,(D303-G303)/G303,IF(G303&gt;E303,(E303-G303)/G303,0))</f>
        <v>-0.293201133144476</v>
      </c>
    </row>
    <row r="304" customFormat="false" ht="15" hidden="false" customHeight="false" outlineLevel="0" collapsed="false">
      <c r="A304" s="6" t="s">
        <v>731</v>
      </c>
      <c r="B304" s="6" t="s">
        <v>714</v>
      </c>
      <c r="C304" s="6" t="s">
        <v>732</v>
      </c>
      <c r="D304" s="7" t="n">
        <v>139</v>
      </c>
      <c r="E304" s="7" t="n">
        <v>139</v>
      </c>
      <c r="F304" s="6" t="n">
        <v>4</v>
      </c>
      <c r="G304" s="7" t="n">
        <v>95</v>
      </c>
      <c r="H304" s="6" t="s">
        <v>147</v>
      </c>
      <c r="I304" s="6" t="str">
        <f aca="false">IF(G304&lt;D304,"più caro",IF(G304&gt;E304,"più economico","in fascia"))</f>
        <v>più caro</v>
      </c>
      <c r="J304" s="8" t="n">
        <f aca="false">IF(G304&lt;D304,(D304-G304)/G304,IF(G304&gt;E304,(E304-G304)/G304,0))</f>
        <v>0.463157894736842</v>
      </c>
    </row>
    <row r="305" customFormat="false" ht="15" hidden="false" customHeight="false" outlineLevel="0" collapsed="false">
      <c r="A305" s="6" t="s">
        <v>733</v>
      </c>
      <c r="B305" s="6" t="s">
        <v>714</v>
      </c>
      <c r="C305" s="6" t="s">
        <v>734</v>
      </c>
      <c r="D305" s="7" t="n">
        <v>45</v>
      </c>
      <c r="E305" s="7" t="n">
        <v>49.9</v>
      </c>
      <c r="F305" s="6" t="n">
        <v>1</v>
      </c>
      <c r="G305" s="7" t="n">
        <v>42</v>
      </c>
      <c r="H305" s="6" t="s">
        <v>147</v>
      </c>
      <c r="I305" s="6" t="str">
        <f aca="false">IF(G305&lt;D305,"più caro",IF(G305&gt;E305,"più economico","in fascia"))</f>
        <v>più caro</v>
      </c>
      <c r="J305" s="8" t="n">
        <f aca="false">IF(G305&lt;D305,(D305-G305)/G305,IF(G305&gt;E305,(E305-G305)/G305,0))</f>
        <v>0.0714285714285714</v>
      </c>
    </row>
    <row r="306" customFormat="false" ht="15" hidden="false" customHeight="false" outlineLevel="0" collapsed="false">
      <c r="A306" s="6" t="s">
        <v>735</v>
      </c>
      <c r="B306" s="6" t="s">
        <v>714</v>
      </c>
      <c r="C306" s="6" t="s">
        <v>736</v>
      </c>
      <c r="D306" s="7" t="n">
        <v>69</v>
      </c>
      <c r="E306" s="7" t="n">
        <v>79</v>
      </c>
      <c r="F306" s="6" t="n">
        <v>2</v>
      </c>
      <c r="G306" s="7" t="n">
        <v>54.94</v>
      </c>
      <c r="H306" s="6" t="s">
        <v>226</v>
      </c>
      <c r="I306" s="6" t="str">
        <f aca="false">IF(G306&lt;D306,"più caro",IF(G306&gt;E306,"più economico","in fascia"))</f>
        <v>più caro</v>
      </c>
      <c r="J306" s="8" t="n">
        <f aca="false">IF(G306&lt;D306,(D306-G306)/G306,IF(G306&gt;E306,(E306-G306)/G306,0))</f>
        <v>0.255915544230069</v>
      </c>
    </row>
    <row r="307" customFormat="false" ht="15" hidden="false" customHeight="false" outlineLevel="0" collapsed="false">
      <c r="A307" s="6" t="s">
        <v>738</v>
      </c>
      <c r="B307" s="6" t="s">
        <v>714</v>
      </c>
      <c r="C307" s="6" t="s">
        <v>739</v>
      </c>
      <c r="D307" s="7" t="n">
        <v>39</v>
      </c>
      <c r="E307" s="7" t="n">
        <v>41</v>
      </c>
      <c r="F307" s="6" t="n">
        <v>1</v>
      </c>
      <c r="G307" s="7" t="n">
        <v>35</v>
      </c>
      <c r="H307" s="6" t="s">
        <v>147</v>
      </c>
      <c r="I307" s="6" t="str">
        <f aca="false">IF(G307&lt;D307,"più caro",IF(G307&gt;E307,"più economico","in fascia"))</f>
        <v>più caro</v>
      </c>
      <c r="J307" s="8" t="n">
        <f aca="false">IF(G307&lt;D307,(D307-G307)/G307,IF(G307&gt;E307,(E307-G307)/G307,0))</f>
        <v>0.114285714285714</v>
      </c>
    </row>
    <row r="308" customFormat="false" ht="15" hidden="false" customHeight="false" outlineLevel="0" collapsed="false">
      <c r="A308" s="6" t="s">
        <v>740</v>
      </c>
      <c r="B308" s="6" t="s">
        <v>714</v>
      </c>
      <c r="C308" s="6" t="s">
        <v>741</v>
      </c>
      <c r="D308" s="7" t="n">
        <v>36.6</v>
      </c>
      <c r="E308" s="7" t="n">
        <v>55</v>
      </c>
      <c r="F308" s="6" t="n">
        <v>1</v>
      </c>
      <c r="G308" s="7" t="n">
        <v>32</v>
      </c>
      <c r="H308" s="6" t="s">
        <v>147</v>
      </c>
      <c r="I308" s="6" t="str">
        <f aca="false">IF(G308&lt;D308,"più caro",IF(G308&gt;E308,"più economico","in fascia"))</f>
        <v>più caro</v>
      </c>
      <c r="J308" s="8" t="n">
        <f aca="false">IF(G308&lt;D308,(D308-G308)/G308,IF(G308&gt;E308,(E308-G308)/G308,0))</f>
        <v>0.14375</v>
      </c>
    </row>
    <row r="309" customFormat="false" ht="15" hidden="false" customHeight="false" outlineLevel="0" collapsed="false">
      <c r="A309" s="6" t="s">
        <v>742</v>
      </c>
      <c r="B309" s="6" t="s">
        <v>714</v>
      </c>
      <c r="C309" s="6" t="s">
        <v>743</v>
      </c>
      <c r="D309" s="7" t="n">
        <v>58.5</v>
      </c>
      <c r="E309" s="7" t="n">
        <v>58.5</v>
      </c>
      <c r="F309" s="6" t="n">
        <v>1</v>
      </c>
      <c r="G309" s="7" t="n">
        <v>55.45</v>
      </c>
      <c r="H309" s="6" t="s">
        <v>105</v>
      </c>
      <c r="I309" s="6" t="str">
        <f aca="false">IF(G309&lt;D309,"più caro",IF(G309&gt;E309,"più economico","in fascia"))</f>
        <v>più caro</v>
      </c>
      <c r="J309" s="8" t="n">
        <f aca="false">IF(G309&lt;D309,(D309-G309)/G309,IF(G309&gt;E309,(E309-G309)/G309,0))</f>
        <v>0.0550045085662759</v>
      </c>
    </row>
    <row r="310" customFormat="false" ht="15" hidden="false" customHeight="false" outlineLevel="0" collapsed="false">
      <c r="A310" s="6" t="s">
        <v>744</v>
      </c>
      <c r="B310" s="6" t="s">
        <v>714</v>
      </c>
      <c r="C310" s="6" t="s">
        <v>745</v>
      </c>
      <c r="D310" s="7" t="n">
        <v>89</v>
      </c>
      <c r="E310" s="7" t="n">
        <v>95</v>
      </c>
      <c r="F310" s="6" t="n">
        <v>3</v>
      </c>
      <c r="G310" s="7" t="n">
        <v>74</v>
      </c>
      <c r="H310" s="6" t="s">
        <v>147</v>
      </c>
      <c r="I310" s="6" t="str">
        <f aca="false">IF(G310&lt;D310,"più caro",IF(G310&gt;E310,"più economico","in fascia"))</f>
        <v>più caro</v>
      </c>
      <c r="J310" s="8" t="n">
        <f aca="false">IF(G310&lt;D310,(D310-G310)/G310,IF(G310&gt;E310,(E310-G310)/G310,0))</f>
        <v>0.202702702702703</v>
      </c>
    </row>
    <row r="311" customFormat="false" ht="15" hidden="false" customHeight="false" outlineLevel="0" collapsed="false">
      <c r="A311" s="6" t="s">
        <v>746</v>
      </c>
      <c r="B311" s="6" t="s">
        <v>714</v>
      </c>
      <c r="C311" s="6" t="s">
        <v>747</v>
      </c>
      <c r="D311" s="7" t="n">
        <v>155</v>
      </c>
      <c r="E311" s="7" t="n">
        <v>199</v>
      </c>
      <c r="F311" s="6" t="n">
        <v>2</v>
      </c>
      <c r="G311" s="7" t="n">
        <v>104</v>
      </c>
      <c r="H311" s="6" t="s">
        <v>716</v>
      </c>
      <c r="I311" s="6" t="str">
        <f aca="false">IF(G311&lt;D311,"più caro",IF(G311&gt;E311,"più economico","in fascia"))</f>
        <v>più caro</v>
      </c>
      <c r="J311" s="8" t="n">
        <f aca="false">IF(G311&lt;D311,(D311-G311)/G311,IF(G311&gt;E311,(E311-G311)/G311,0))</f>
        <v>0.490384615384615</v>
      </c>
    </row>
    <row r="312" customFormat="false" ht="15" hidden="false" customHeight="false" outlineLevel="0" collapsed="false">
      <c r="A312" s="6" t="s">
        <v>749</v>
      </c>
      <c r="B312" s="6" t="s">
        <v>714</v>
      </c>
      <c r="C312" s="6" t="s">
        <v>750</v>
      </c>
      <c r="D312" s="7" t="n">
        <v>3.9</v>
      </c>
      <c r="E312" s="7" t="n">
        <v>5.5</v>
      </c>
      <c r="F312" s="6" t="n">
        <v>1</v>
      </c>
      <c r="G312" s="7" t="n">
        <v>6.06</v>
      </c>
      <c r="H312" s="6" t="s">
        <v>105</v>
      </c>
      <c r="I312" s="6" t="str">
        <f aca="false">IF(G312&lt;D312,"più caro",IF(G312&gt;E312,"più economico","in fascia"))</f>
        <v>più economico</v>
      </c>
      <c r="J312" s="8" t="n">
        <f aca="false">IF(G312&lt;D312,(D312-G312)/G312,IF(G312&gt;E312,(E312-G312)/G312,0))</f>
        <v>-0.0924092409240924</v>
      </c>
    </row>
    <row r="313" customFormat="false" ht="15" hidden="false" customHeight="false" outlineLevel="0" collapsed="false">
      <c r="A313" s="6" t="s">
        <v>751</v>
      </c>
      <c r="B313" s="6" t="s">
        <v>714</v>
      </c>
      <c r="C313" s="6" t="s">
        <v>752</v>
      </c>
      <c r="D313" s="7" t="n">
        <v>85</v>
      </c>
      <c r="E313" s="7" t="n">
        <v>89</v>
      </c>
      <c r="F313" s="6" t="n">
        <v>1</v>
      </c>
      <c r="G313" s="7" t="n">
        <v>68</v>
      </c>
      <c r="H313" s="6" t="s">
        <v>716</v>
      </c>
      <c r="I313" s="6" t="str">
        <f aca="false">IF(G313&lt;D313,"più caro",IF(G313&gt;E313,"più economico","in fascia"))</f>
        <v>più caro</v>
      </c>
      <c r="J313" s="8" t="n">
        <f aca="false">IF(G313&lt;D313,(D313-G313)/G313,IF(G313&gt;E313,(E313-G313)/G313,0))</f>
        <v>0.25</v>
      </c>
    </row>
    <row r="314" customFormat="false" ht="15" hidden="false" customHeight="false" outlineLevel="0" collapsed="false">
      <c r="A314" s="6" t="s">
        <v>753</v>
      </c>
      <c r="B314" s="6" t="s">
        <v>714</v>
      </c>
      <c r="C314" s="6" t="s">
        <v>754</v>
      </c>
      <c r="D314" s="7" t="n">
        <v>33</v>
      </c>
      <c r="E314" s="7" t="n">
        <v>41</v>
      </c>
      <c r="F314" s="6" t="n">
        <v>1</v>
      </c>
      <c r="G314" s="7" t="n">
        <v>41</v>
      </c>
      <c r="H314" s="6" t="s">
        <v>147</v>
      </c>
      <c r="I314" s="6" t="str">
        <f aca="false">IF(G314&lt;D314,"più caro",IF(G314&gt;E314,"più economico","in fascia"))</f>
        <v>in fascia</v>
      </c>
      <c r="J314" s="8" t="n">
        <f aca="false">IF(G314&lt;D314,(D314-G314)/G314,IF(G314&gt;E314,(E314-G314)/G314,0))</f>
        <v>0</v>
      </c>
    </row>
    <row r="315" customFormat="false" ht="15" hidden="false" customHeight="false" outlineLevel="0" collapsed="false">
      <c r="A315" s="6" t="s">
        <v>755</v>
      </c>
      <c r="B315" s="6" t="s">
        <v>714</v>
      </c>
      <c r="C315" s="6" t="s">
        <v>756</v>
      </c>
      <c r="D315" s="7" t="n">
        <v>7.4</v>
      </c>
      <c r="E315" s="7" t="n">
        <v>7.4</v>
      </c>
      <c r="F315" s="6" t="n">
        <v>1</v>
      </c>
      <c r="G315" s="7" t="n">
        <v>7.58</v>
      </c>
      <c r="H315" s="6" t="s">
        <v>105</v>
      </c>
      <c r="I315" s="6" t="str">
        <f aca="false">IF(G315&lt;D315,"più caro",IF(G315&gt;E315,"più economico","in fascia"))</f>
        <v>più economico</v>
      </c>
      <c r="J315" s="8" t="n">
        <f aca="false">IF(G315&lt;D315,(D315-G315)/G315,IF(G315&gt;E315,(E315-G315)/G315,0))</f>
        <v>-0.0237467018469657</v>
      </c>
    </row>
    <row r="316" customFormat="false" ht="15" hidden="false" customHeight="false" outlineLevel="0" collapsed="false">
      <c r="A316" s="6" t="s">
        <v>758</v>
      </c>
      <c r="B316" s="6" t="s">
        <v>714</v>
      </c>
      <c r="C316" s="6" t="s">
        <v>759</v>
      </c>
      <c r="D316" s="7" t="n">
        <v>40.9</v>
      </c>
      <c r="E316" s="7" t="n">
        <v>47.5</v>
      </c>
      <c r="F316" s="6" t="n">
        <v>2</v>
      </c>
      <c r="G316" s="7" t="n">
        <v>15</v>
      </c>
      <c r="H316" s="6" t="s">
        <v>147</v>
      </c>
      <c r="I316" s="6" t="str">
        <f aca="false">IF(G316&lt;D316,"più caro",IF(G316&gt;E316,"più economico","in fascia"))</f>
        <v>più caro</v>
      </c>
      <c r="J316" s="8" t="n">
        <f aca="false">IF(G316&lt;D316,(D316-G316)/G316,IF(G316&gt;E316,(E316-G316)/G316,0))</f>
        <v>1.72666666666667</v>
      </c>
    </row>
    <row r="317" customFormat="false" ht="15" hidden="false" customHeight="false" outlineLevel="0" collapsed="false">
      <c r="A317" s="6" t="s">
        <v>760</v>
      </c>
      <c r="B317" s="6" t="s">
        <v>714</v>
      </c>
      <c r="C317" s="6" t="s">
        <v>761</v>
      </c>
      <c r="D317" s="7" t="n">
        <v>125</v>
      </c>
      <c r="E317" s="7" t="n">
        <v>129</v>
      </c>
      <c r="F317" s="6" t="n">
        <v>1</v>
      </c>
      <c r="G317" s="7" t="n">
        <v>89</v>
      </c>
      <c r="H317" s="6" t="s">
        <v>147</v>
      </c>
      <c r="I317" s="6" t="str">
        <f aca="false">IF(G317&lt;D317,"più caro",IF(G317&gt;E317,"più economico","in fascia"))</f>
        <v>più caro</v>
      </c>
      <c r="J317" s="8" t="n">
        <f aca="false">IF(G317&lt;D317,(D317-G317)/G317,IF(G317&gt;E317,(E317-G317)/G317,0))</f>
        <v>0.404494382022472</v>
      </c>
    </row>
    <row r="318" customFormat="false" ht="15" hidden="false" customHeight="false" outlineLevel="0" collapsed="false">
      <c r="A318" s="6" t="s">
        <v>763</v>
      </c>
      <c r="B318" s="6" t="s">
        <v>714</v>
      </c>
      <c r="C318" s="6" t="s">
        <v>764</v>
      </c>
      <c r="D318" s="7" t="n">
        <v>69</v>
      </c>
      <c r="E318" s="7" t="n">
        <v>75</v>
      </c>
      <c r="F318" s="6" t="n">
        <v>3</v>
      </c>
      <c r="G318" s="7" t="n">
        <v>61.75</v>
      </c>
      <c r="H318" s="6" t="s">
        <v>226</v>
      </c>
      <c r="I318" s="6" t="str">
        <f aca="false">IF(G318&lt;D318,"più caro",IF(G318&gt;E318,"più economico","in fascia"))</f>
        <v>più caro</v>
      </c>
      <c r="J318" s="8" t="n">
        <f aca="false">IF(G318&lt;D318,(D318-G318)/G318,IF(G318&gt;E318,(E318-G318)/G318,0))</f>
        <v>0.117408906882591</v>
      </c>
    </row>
    <row r="319" customFormat="false" ht="15" hidden="false" customHeight="false" outlineLevel="0" collapsed="false">
      <c r="A319" s="6" t="s">
        <v>765</v>
      </c>
      <c r="B319" s="6" t="s">
        <v>714</v>
      </c>
      <c r="C319" s="6" t="s">
        <v>766</v>
      </c>
      <c r="D319" s="7" t="n">
        <v>14.95</v>
      </c>
      <c r="E319" s="7" t="n">
        <v>22.9</v>
      </c>
      <c r="F319" s="6" t="n">
        <v>1</v>
      </c>
      <c r="G319" s="7" t="n">
        <v>15.15</v>
      </c>
      <c r="H319" s="6" t="s">
        <v>105</v>
      </c>
      <c r="I319" s="6" t="str">
        <f aca="false">IF(G319&lt;D319,"più caro",IF(G319&gt;E319,"più economico","in fascia"))</f>
        <v>in fascia</v>
      </c>
      <c r="J319" s="8" t="n">
        <f aca="false">IF(G319&lt;D319,(D319-G319)/G319,IF(G319&gt;E319,(E319-G319)/G319,0))</f>
        <v>0</v>
      </c>
    </row>
    <row r="320" customFormat="false" ht="15" hidden="false" customHeight="false" outlineLevel="0" collapsed="false">
      <c r="A320" s="6" t="s">
        <v>767</v>
      </c>
      <c r="B320" s="6" t="s">
        <v>714</v>
      </c>
      <c r="C320" s="6" t="s">
        <v>768</v>
      </c>
      <c r="D320" s="7" t="n">
        <v>10.9</v>
      </c>
      <c r="E320" s="7" t="n">
        <v>11.5</v>
      </c>
      <c r="F320" s="6" t="n">
        <v>1</v>
      </c>
      <c r="G320" s="7" t="n">
        <v>35</v>
      </c>
      <c r="H320" s="6" t="s">
        <v>716</v>
      </c>
      <c r="I320" s="6" t="str">
        <f aca="false">IF(G320&lt;D320,"più caro",IF(G320&gt;E320,"più economico","in fascia"))</f>
        <v>più economico</v>
      </c>
      <c r="J320" s="8" t="n">
        <f aca="false">IF(G320&lt;D320,(D320-G320)/G320,IF(G320&gt;E320,(E320-G320)/G320,0))</f>
        <v>-0.671428571428571</v>
      </c>
    </row>
    <row r="321" customFormat="false" ht="15" hidden="false" customHeight="false" outlineLevel="0" collapsed="false">
      <c r="A321" s="6" t="s">
        <v>769</v>
      </c>
      <c r="B321" s="6" t="s">
        <v>714</v>
      </c>
      <c r="C321" s="6" t="s">
        <v>770</v>
      </c>
      <c r="D321" s="7" t="n">
        <v>139</v>
      </c>
      <c r="E321" s="7" t="n">
        <v>139</v>
      </c>
      <c r="F321" s="6" t="n">
        <v>3</v>
      </c>
      <c r="G321" s="7" t="n">
        <v>110</v>
      </c>
      <c r="H321" s="6" t="s">
        <v>147</v>
      </c>
      <c r="I321" s="6" t="str">
        <f aca="false">IF(G321&lt;D321,"più caro",IF(G321&gt;E321,"più economico","in fascia"))</f>
        <v>più caro</v>
      </c>
      <c r="J321" s="8" t="n">
        <f aca="false">IF(G321&lt;D321,(D321-G321)/G321,IF(G321&gt;E321,(E321-G321)/G321,0))</f>
        <v>0.263636363636364</v>
      </c>
    </row>
    <row r="322" customFormat="false" ht="15" hidden="false" customHeight="false" outlineLevel="0" collapsed="false">
      <c r="A322" s="6" t="s">
        <v>771</v>
      </c>
      <c r="B322" s="6" t="s">
        <v>714</v>
      </c>
      <c r="C322" s="6" t="s">
        <v>772</v>
      </c>
      <c r="D322" s="7" t="n">
        <v>11.5</v>
      </c>
      <c r="E322" s="7" t="n">
        <v>14.5</v>
      </c>
      <c r="F322" s="6" t="n">
        <v>1</v>
      </c>
      <c r="G322" s="7" t="n">
        <v>41.5</v>
      </c>
      <c r="H322" s="6" t="s">
        <v>716</v>
      </c>
      <c r="I322" s="6" t="str">
        <f aca="false">IF(G322&lt;D322,"più caro",IF(G322&gt;E322,"più economico","in fascia"))</f>
        <v>più economico</v>
      </c>
      <c r="J322" s="8" t="n">
        <f aca="false">IF(G322&lt;D322,(D322-G322)/G322,IF(G322&gt;E322,(E322-G322)/G322,0))</f>
        <v>-0.650602409638554</v>
      </c>
    </row>
    <row r="323" customFormat="false" ht="15" hidden="false" customHeight="false" outlineLevel="0" collapsed="false">
      <c r="A323" s="6" t="s">
        <v>773</v>
      </c>
      <c r="B323" s="6" t="s">
        <v>714</v>
      </c>
      <c r="C323" s="6" t="s">
        <v>774</v>
      </c>
      <c r="D323" s="7" t="n">
        <v>25</v>
      </c>
      <c r="E323" s="7" t="n">
        <v>28.95</v>
      </c>
      <c r="F323" s="6" t="n">
        <v>1</v>
      </c>
      <c r="G323" s="7" t="n">
        <v>21</v>
      </c>
      <c r="H323" s="6" t="s">
        <v>147</v>
      </c>
      <c r="I323" s="6" t="str">
        <f aca="false">IF(G323&lt;D323,"più caro",IF(G323&gt;E323,"più economico","in fascia"))</f>
        <v>più caro</v>
      </c>
      <c r="J323" s="8" t="n">
        <f aca="false">IF(G323&lt;D323,(D323-G323)/G323,IF(G323&gt;E323,(E323-G323)/G323,0))</f>
        <v>0.19047619047619</v>
      </c>
    </row>
    <row r="324" customFormat="false" ht="15" hidden="false" customHeight="false" outlineLevel="0" collapsed="false">
      <c r="A324" s="6" t="s">
        <v>776</v>
      </c>
      <c r="B324" s="6" t="s">
        <v>714</v>
      </c>
      <c r="C324" s="6" t="s">
        <v>777</v>
      </c>
      <c r="D324" s="7" t="n">
        <v>110</v>
      </c>
      <c r="E324" s="7" t="n">
        <v>122</v>
      </c>
      <c r="F324" s="6" t="n">
        <v>1</v>
      </c>
      <c r="G324" s="7" t="n">
        <v>119</v>
      </c>
      <c r="H324" s="6" t="s">
        <v>716</v>
      </c>
      <c r="I324" s="6" t="str">
        <f aca="false">IF(G324&lt;D324,"più caro",IF(G324&gt;E324,"più economico","in fascia"))</f>
        <v>in fascia</v>
      </c>
      <c r="J324" s="8" t="n">
        <f aca="false">IF(G324&lt;D324,(D324-G324)/G324,IF(G324&gt;E324,(E324-G324)/G324,0))</f>
        <v>0</v>
      </c>
    </row>
    <row r="325" customFormat="false" ht="15" hidden="false" customHeight="false" outlineLevel="0" collapsed="false">
      <c r="A325" s="6" t="s">
        <v>778</v>
      </c>
      <c r="B325" s="6" t="s">
        <v>714</v>
      </c>
      <c r="C325" s="6" t="s">
        <v>779</v>
      </c>
      <c r="D325" s="7" t="n">
        <v>139</v>
      </c>
      <c r="E325" s="7" t="n">
        <v>139</v>
      </c>
      <c r="F325" s="6" t="n">
        <v>2</v>
      </c>
      <c r="G325" s="7" t="n">
        <v>112</v>
      </c>
      <c r="H325" s="6" t="s">
        <v>147</v>
      </c>
      <c r="I325" s="6" t="str">
        <f aca="false">IF(G325&lt;D325,"più caro",IF(G325&gt;E325,"più economico","in fascia"))</f>
        <v>più caro</v>
      </c>
      <c r="J325" s="8" t="n">
        <f aca="false">IF(G325&lt;D325,(D325-G325)/G325,IF(G325&gt;E325,(E325-G325)/G325,0))</f>
        <v>0.241071428571429</v>
      </c>
    </row>
    <row r="326" customFormat="false" ht="15" hidden="false" customHeight="false" outlineLevel="0" collapsed="false">
      <c r="A326" s="6" t="s">
        <v>780</v>
      </c>
      <c r="B326" s="6" t="s">
        <v>714</v>
      </c>
      <c r="C326" s="6" t="s">
        <v>781</v>
      </c>
      <c r="D326" s="7" t="n">
        <v>179</v>
      </c>
      <c r="E326" s="7" t="n">
        <v>179</v>
      </c>
      <c r="F326" s="6" t="n">
        <v>1</v>
      </c>
      <c r="G326" s="7" t="n">
        <v>151.4</v>
      </c>
      <c r="H326" s="6" t="s">
        <v>105</v>
      </c>
      <c r="I326" s="6" t="str">
        <f aca="false">IF(G326&lt;D326,"più caro",IF(G326&gt;E326,"più economico","in fascia"))</f>
        <v>più caro</v>
      </c>
      <c r="J326" s="8" t="n">
        <f aca="false">IF(G326&lt;D326,(D326-G326)/G326,IF(G326&gt;E326,(E326-G326)/G326,0))</f>
        <v>0.182298546895641</v>
      </c>
    </row>
    <row r="327" customFormat="false" ht="15" hidden="false" customHeight="false" outlineLevel="0" collapsed="false">
      <c r="A327" s="6" t="s">
        <v>782</v>
      </c>
      <c r="B327" s="6" t="s">
        <v>783</v>
      </c>
      <c r="C327" s="6" t="s">
        <v>784</v>
      </c>
      <c r="D327" s="7" t="n">
        <v>6.5</v>
      </c>
      <c r="E327" s="7" t="n">
        <v>6.5</v>
      </c>
      <c r="F327" s="6" t="n">
        <v>1</v>
      </c>
      <c r="G327" s="7" t="n">
        <v>14.99</v>
      </c>
      <c r="H327" s="6" t="s">
        <v>31</v>
      </c>
      <c r="I327" s="6" t="str">
        <f aca="false">IF(G327&lt;D327,"più caro",IF(G327&gt;E327,"più economico","in fascia"))</f>
        <v>più economico</v>
      </c>
      <c r="J327" s="8" t="n">
        <f aca="false">IF(G327&lt;D327,(D327-G327)/G327,IF(G327&gt;E327,(E327-G327)/G327,0))</f>
        <v>-0.566377585056704</v>
      </c>
    </row>
    <row r="328" customFormat="false" ht="15" hidden="false" customHeight="false" outlineLevel="0" collapsed="false">
      <c r="A328" s="6" t="s">
        <v>785</v>
      </c>
      <c r="B328" s="6" t="s">
        <v>783</v>
      </c>
      <c r="C328" s="6" t="s">
        <v>786</v>
      </c>
      <c r="D328" s="7" t="n">
        <v>14.5</v>
      </c>
      <c r="E328" s="7" t="n">
        <v>14.5</v>
      </c>
      <c r="F328" s="6" t="n">
        <v>1</v>
      </c>
      <c r="G328" s="7" t="n">
        <v>14.99</v>
      </c>
      <c r="H328" s="6" t="s">
        <v>31</v>
      </c>
      <c r="I328" s="6" t="str">
        <f aca="false">IF(G328&lt;D328,"più caro",IF(G328&gt;E328,"più economico","in fascia"))</f>
        <v>più economico</v>
      </c>
      <c r="J328" s="8" t="n">
        <f aca="false">IF(G328&lt;D328,(D328-G328)/G328,IF(G328&gt;E328,(E328-G328)/G328,0))</f>
        <v>-0.0326884589726484</v>
      </c>
    </row>
  </sheetData>
  <autoFilter ref="A1:J328"/>
  <conditionalFormatting sqref="J2:J328">
    <cfRule type="cellIs" priority="2" operator="greaterThan" aboveAverage="0" equalAverage="0" bottom="0" percent="0" rank="0" text="" dxfId="6">
      <formula>0.02</formula>
    </cfRule>
    <cfRule type="cellIs" priority="3" operator="lessThan" aboveAverage="0" equalAverage="0" bottom="0" percent="0" rank="0" text="" dxfId="7">
      <formula>-0.02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5" t="s">
        <v>13</v>
      </c>
      <c r="B1" s="5" t="s">
        <v>793</v>
      </c>
      <c r="C1" s="5" t="s">
        <v>794</v>
      </c>
      <c r="D1" s="5" t="s">
        <v>795</v>
      </c>
      <c r="E1" s="5" t="s">
        <v>796</v>
      </c>
      <c r="F1" s="5" t="s">
        <v>797</v>
      </c>
      <c r="G1" s="5" t="s">
        <v>798</v>
      </c>
    </row>
    <row r="2" customFormat="false" ht="15" hidden="false" customHeight="false" outlineLevel="0" collapsed="false">
      <c r="A2" s="10" t="s">
        <v>364</v>
      </c>
      <c r="B2" s="6" t="n">
        <v>157</v>
      </c>
      <c r="C2" s="6" t="n">
        <v>99</v>
      </c>
      <c r="D2" s="8" t="n">
        <v>0.193181818181818</v>
      </c>
      <c r="E2" s="6" t="n">
        <v>83</v>
      </c>
      <c r="F2" s="6" t="n">
        <v>11</v>
      </c>
      <c r="G2" s="6" t="n">
        <v>5</v>
      </c>
    </row>
    <row r="3" customFormat="false" ht="15" hidden="false" customHeight="false" outlineLevel="0" collapsed="false">
      <c r="A3" s="10" t="s">
        <v>361</v>
      </c>
      <c r="B3" s="6" t="n">
        <v>64</v>
      </c>
      <c r="C3" s="6" t="n">
        <v>1</v>
      </c>
      <c r="D3" s="8" t="n">
        <v>0.342434584755404</v>
      </c>
      <c r="E3" s="6" t="n">
        <v>1</v>
      </c>
      <c r="F3" s="6" t="n">
        <v>0</v>
      </c>
      <c r="G3" s="6" t="n">
        <v>0</v>
      </c>
    </row>
    <row r="4" customFormat="false" ht="15" hidden="false" customHeight="false" outlineLevel="0" collapsed="false">
      <c r="A4" s="10" t="s">
        <v>714</v>
      </c>
      <c r="B4" s="6" t="n">
        <v>63</v>
      </c>
      <c r="C4" s="6" t="n">
        <v>30</v>
      </c>
      <c r="D4" s="8" t="n">
        <v>0.154066780821918</v>
      </c>
      <c r="E4" s="6" t="n">
        <v>21</v>
      </c>
      <c r="F4" s="6" t="n">
        <v>4</v>
      </c>
      <c r="G4" s="6" t="n">
        <v>5</v>
      </c>
    </row>
    <row r="5" customFormat="false" ht="15" hidden="false" customHeight="false" outlineLevel="0" collapsed="false">
      <c r="A5" s="10" t="s">
        <v>636</v>
      </c>
      <c r="B5" s="6" t="n">
        <v>59</v>
      </c>
      <c r="C5" s="6" t="n">
        <v>8</v>
      </c>
      <c r="D5" s="8" t="n">
        <v>0.307635366458896</v>
      </c>
      <c r="E5" s="6" t="n">
        <v>6</v>
      </c>
      <c r="F5" s="6" t="n">
        <v>1</v>
      </c>
      <c r="G5" s="6" t="n">
        <v>1</v>
      </c>
    </row>
    <row r="6" customFormat="false" ht="15" hidden="false" customHeight="false" outlineLevel="0" collapsed="false">
      <c r="A6" s="10" t="s">
        <v>130</v>
      </c>
      <c r="B6" s="6" t="n">
        <v>57</v>
      </c>
      <c r="C6" s="6" t="n">
        <v>4</v>
      </c>
      <c r="D6" s="8" t="n">
        <v>0.309665632231029</v>
      </c>
      <c r="E6" s="6" t="n">
        <v>4</v>
      </c>
      <c r="F6" s="6" t="n">
        <v>0</v>
      </c>
      <c r="G6" s="6" t="n">
        <v>0</v>
      </c>
    </row>
    <row r="7" customFormat="false" ht="15" hidden="false" customHeight="false" outlineLevel="0" collapsed="false">
      <c r="A7" s="10" t="s">
        <v>36</v>
      </c>
      <c r="B7" s="6" t="n">
        <v>55</v>
      </c>
      <c r="C7" s="6" t="n">
        <v>38</v>
      </c>
      <c r="D7" s="8" t="n">
        <v>0.0966995473278833</v>
      </c>
      <c r="E7" s="6" t="n">
        <v>25</v>
      </c>
      <c r="F7" s="6" t="n">
        <v>7</v>
      </c>
      <c r="G7" s="6" t="n">
        <v>6</v>
      </c>
    </row>
    <row r="8" customFormat="false" ht="15" hidden="false" customHeight="false" outlineLevel="0" collapsed="false">
      <c r="A8" s="10" t="s">
        <v>703</v>
      </c>
      <c r="B8" s="6" t="n">
        <v>42</v>
      </c>
      <c r="C8" s="6" t="n">
        <v>3</v>
      </c>
      <c r="D8" s="8" t="n">
        <v>0.48936170212766</v>
      </c>
      <c r="E8" s="6" t="n">
        <v>3</v>
      </c>
      <c r="F8" s="6" t="n">
        <v>0</v>
      </c>
      <c r="G8" s="6" t="n">
        <v>0</v>
      </c>
    </row>
    <row r="9" customFormat="false" ht="15" hidden="false" customHeight="false" outlineLevel="0" collapsed="false">
      <c r="A9" s="10" t="s">
        <v>258</v>
      </c>
      <c r="B9" s="6" t="n">
        <v>41</v>
      </c>
      <c r="C9" s="6" t="n">
        <v>9</v>
      </c>
      <c r="D9" s="8" t="n">
        <v>0</v>
      </c>
      <c r="E9" s="6" t="n">
        <v>4</v>
      </c>
      <c r="F9" s="6" t="n">
        <v>5</v>
      </c>
      <c r="G9" s="6" t="n">
        <v>0</v>
      </c>
    </row>
    <row r="10" customFormat="false" ht="15" hidden="false" customHeight="false" outlineLevel="0" collapsed="false">
      <c r="A10" s="10" t="s">
        <v>799</v>
      </c>
      <c r="B10" s="6" t="n">
        <v>34</v>
      </c>
      <c r="C10" s="6" t="n">
        <v>0</v>
      </c>
      <c r="D10" s="8"/>
      <c r="E10" s="6" t="n">
        <v>0</v>
      </c>
      <c r="F10" s="6" t="n">
        <v>0</v>
      </c>
      <c r="G10" s="6" t="n">
        <v>0</v>
      </c>
    </row>
    <row r="11" customFormat="false" ht="15" hidden="false" customHeight="false" outlineLevel="0" collapsed="false">
      <c r="A11" s="10" t="s">
        <v>193</v>
      </c>
      <c r="B11" s="6" t="n">
        <v>29</v>
      </c>
      <c r="C11" s="6" t="n">
        <v>3</v>
      </c>
      <c r="D11" s="8" t="n">
        <v>0.879699248120301</v>
      </c>
      <c r="E11" s="6" t="n">
        <v>3</v>
      </c>
      <c r="F11" s="6" t="n">
        <v>0</v>
      </c>
      <c r="G11" s="6" t="n">
        <v>0</v>
      </c>
    </row>
    <row r="12" customFormat="false" ht="15" hidden="false" customHeight="false" outlineLevel="0" collapsed="false">
      <c r="A12" s="10" t="s">
        <v>613</v>
      </c>
      <c r="B12" s="6" t="n">
        <v>29</v>
      </c>
      <c r="C12" s="6" t="n">
        <v>10</v>
      </c>
      <c r="D12" s="8" t="n">
        <v>0.107782879146919</v>
      </c>
      <c r="E12" s="6" t="n">
        <v>6</v>
      </c>
      <c r="F12" s="6" t="n">
        <v>2</v>
      </c>
      <c r="G12" s="6" t="n">
        <v>2</v>
      </c>
    </row>
    <row r="13" customFormat="false" ht="15" hidden="false" customHeight="false" outlineLevel="0" collapsed="false">
      <c r="A13" s="10" t="s">
        <v>698</v>
      </c>
      <c r="B13" s="6" t="n">
        <v>24</v>
      </c>
      <c r="C13" s="6" t="n">
        <v>2</v>
      </c>
      <c r="D13" s="8" t="n">
        <v>0.429157534485059</v>
      </c>
      <c r="E13" s="6" t="n">
        <v>2</v>
      </c>
      <c r="F13" s="6" t="n">
        <v>0</v>
      </c>
      <c r="G13" s="6" t="n">
        <v>0</v>
      </c>
    </row>
    <row r="14" customFormat="false" ht="15" hidden="false" customHeight="false" outlineLevel="0" collapsed="false">
      <c r="A14" s="10" t="s">
        <v>586</v>
      </c>
      <c r="B14" s="6" t="n">
        <v>23</v>
      </c>
      <c r="C14" s="6" t="n">
        <v>13</v>
      </c>
      <c r="D14" s="8" t="n">
        <v>0.000800640512409911</v>
      </c>
      <c r="E14" s="6" t="n">
        <v>6</v>
      </c>
      <c r="F14" s="6" t="n">
        <v>6</v>
      </c>
      <c r="G14" s="6" t="n">
        <v>1</v>
      </c>
    </row>
    <row r="15" customFormat="false" ht="15" hidden="false" customHeight="false" outlineLevel="0" collapsed="false">
      <c r="A15" s="10" t="s">
        <v>800</v>
      </c>
      <c r="B15" s="6" t="n">
        <v>20</v>
      </c>
      <c r="C15" s="6" t="n">
        <v>0</v>
      </c>
      <c r="D15" s="8"/>
      <c r="E15" s="6" t="n">
        <v>0</v>
      </c>
      <c r="F15" s="6" t="n">
        <v>0</v>
      </c>
      <c r="G15" s="6" t="n">
        <v>0</v>
      </c>
    </row>
    <row r="16" customFormat="false" ht="15" hidden="false" customHeight="false" outlineLevel="0" collapsed="false">
      <c r="A16" s="10" t="s">
        <v>178</v>
      </c>
      <c r="B16" s="6" t="n">
        <v>18</v>
      </c>
      <c r="C16" s="6" t="n">
        <v>7</v>
      </c>
      <c r="D16" s="8" t="n">
        <v>0.253943217665615</v>
      </c>
      <c r="E16" s="6" t="n">
        <v>7</v>
      </c>
      <c r="F16" s="6" t="n">
        <v>0</v>
      </c>
      <c r="G16" s="6" t="n">
        <v>0</v>
      </c>
    </row>
    <row r="17" customFormat="false" ht="15" hidden="false" customHeight="false" outlineLevel="0" collapsed="false">
      <c r="A17" s="10" t="s">
        <v>801</v>
      </c>
      <c r="B17" s="6" t="n">
        <v>17</v>
      </c>
      <c r="C17" s="6" t="n">
        <v>0</v>
      </c>
      <c r="D17" s="8"/>
      <c r="E17" s="6" t="n">
        <v>0</v>
      </c>
      <c r="F17" s="6" t="n">
        <v>0</v>
      </c>
      <c r="G17" s="6" t="n">
        <v>0</v>
      </c>
    </row>
    <row r="18" customFormat="false" ht="15" hidden="false" customHeight="false" outlineLevel="0" collapsed="false">
      <c r="A18" s="10" t="s">
        <v>144</v>
      </c>
      <c r="B18" s="6" t="n">
        <v>16</v>
      </c>
      <c r="C18" s="6" t="n">
        <v>3</v>
      </c>
      <c r="D18" s="8" t="n">
        <v>0.191919191919192</v>
      </c>
      <c r="E18" s="6" t="n">
        <v>2</v>
      </c>
      <c r="F18" s="6" t="n">
        <v>0</v>
      </c>
      <c r="G18" s="6" t="n">
        <v>1</v>
      </c>
    </row>
    <row r="19" customFormat="false" ht="15" hidden="false" customHeight="false" outlineLevel="0" collapsed="false">
      <c r="A19" s="10" t="s">
        <v>232</v>
      </c>
      <c r="B19" s="6" t="n">
        <v>15</v>
      </c>
      <c r="C19" s="6" t="n">
        <v>10</v>
      </c>
      <c r="D19" s="8" t="n">
        <v>0.759493670886076</v>
      </c>
      <c r="E19" s="6" t="n">
        <v>10</v>
      </c>
      <c r="F19" s="6" t="n">
        <v>0</v>
      </c>
      <c r="G19" s="6" t="n">
        <v>0</v>
      </c>
    </row>
    <row r="20" customFormat="false" ht="15" hidden="false" customHeight="false" outlineLevel="0" collapsed="false">
      <c r="A20" s="10" t="s">
        <v>253</v>
      </c>
      <c r="B20" s="6" t="n">
        <v>15</v>
      </c>
      <c r="C20" s="6" t="n">
        <v>2</v>
      </c>
      <c r="D20" s="8" t="n">
        <v>0.0176876617773943</v>
      </c>
      <c r="E20" s="6" t="n">
        <v>1</v>
      </c>
      <c r="F20" s="6" t="n">
        <v>1</v>
      </c>
      <c r="G20" s="6" t="n">
        <v>0</v>
      </c>
    </row>
    <row r="21" customFormat="false" ht="15" hidden="false" customHeight="false" outlineLevel="0" collapsed="false">
      <c r="A21" s="10" t="s">
        <v>577</v>
      </c>
      <c r="B21" s="6" t="n">
        <v>15</v>
      </c>
      <c r="C21" s="6" t="n">
        <v>4</v>
      </c>
      <c r="D21" s="8" t="n">
        <v>0.304885888781742</v>
      </c>
      <c r="E21" s="6" t="n">
        <v>4</v>
      </c>
      <c r="F21" s="6" t="n">
        <v>0</v>
      </c>
      <c r="G21" s="6" t="n">
        <v>0</v>
      </c>
    </row>
    <row r="22" customFormat="false" ht="15" hidden="false" customHeight="false" outlineLevel="0" collapsed="false">
      <c r="A22" s="10" t="s">
        <v>684</v>
      </c>
      <c r="B22" s="6" t="n">
        <v>15</v>
      </c>
      <c r="C22" s="6" t="n">
        <v>5</v>
      </c>
      <c r="D22" s="8" t="n">
        <v>0.240875912408759</v>
      </c>
      <c r="E22" s="6" t="n">
        <v>5</v>
      </c>
      <c r="F22" s="6" t="n">
        <v>0</v>
      </c>
      <c r="G22" s="6" t="n">
        <v>0</v>
      </c>
    </row>
    <row r="23" customFormat="false" ht="15" hidden="false" customHeight="false" outlineLevel="0" collapsed="false">
      <c r="A23" s="10" t="s">
        <v>351</v>
      </c>
      <c r="B23" s="6" t="n">
        <v>14</v>
      </c>
      <c r="C23" s="6" t="n">
        <v>2</v>
      </c>
      <c r="D23" s="8" t="n">
        <v>0.16291976064767</v>
      </c>
      <c r="E23" s="6" t="n">
        <v>2</v>
      </c>
      <c r="F23" s="6" t="n">
        <v>0</v>
      </c>
      <c r="G23" s="6" t="n">
        <v>0</v>
      </c>
    </row>
    <row r="24" customFormat="false" ht="15" hidden="false" customHeight="false" outlineLevel="0" collapsed="false">
      <c r="A24" s="10" t="s">
        <v>318</v>
      </c>
      <c r="B24" s="6" t="n">
        <v>13</v>
      </c>
      <c r="C24" s="6" t="n">
        <v>6</v>
      </c>
      <c r="D24" s="8" t="n">
        <v>0.27</v>
      </c>
      <c r="E24" s="6" t="n">
        <v>6</v>
      </c>
      <c r="F24" s="6" t="n">
        <v>0</v>
      </c>
      <c r="G24" s="6" t="n">
        <v>0</v>
      </c>
    </row>
    <row r="25" customFormat="false" ht="15" hidden="false" customHeight="false" outlineLevel="0" collapsed="false">
      <c r="A25" s="10" t="s">
        <v>164</v>
      </c>
      <c r="B25" s="6" t="n">
        <v>11</v>
      </c>
      <c r="C25" s="6" t="n">
        <v>6</v>
      </c>
      <c r="D25" s="8" t="n">
        <v>0.0661687449762356</v>
      </c>
      <c r="E25" s="6" t="n">
        <v>5</v>
      </c>
      <c r="F25" s="6" t="n">
        <v>0</v>
      </c>
      <c r="G25" s="6" t="n">
        <v>1</v>
      </c>
    </row>
    <row r="26" customFormat="false" ht="15" hidden="false" customHeight="false" outlineLevel="0" collapsed="false">
      <c r="A26" s="10" t="s">
        <v>802</v>
      </c>
      <c r="B26" s="6" t="n">
        <v>11</v>
      </c>
      <c r="C26" s="6" t="n">
        <v>0</v>
      </c>
      <c r="D26" s="8"/>
      <c r="E26" s="6" t="n">
        <v>0</v>
      </c>
      <c r="F26" s="6" t="n">
        <v>0</v>
      </c>
      <c r="G26" s="6" t="n">
        <v>0</v>
      </c>
    </row>
    <row r="27" customFormat="false" ht="15" hidden="false" customHeight="false" outlineLevel="0" collapsed="false">
      <c r="A27" s="10" t="s">
        <v>803</v>
      </c>
      <c r="B27" s="6" t="n">
        <v>10</v>
      </c>
      <c r="C27" s="6" t="n">
        <v>0</v>
      </c>
      <c r="D27" s="8"/>
      <c r="E27" s="6" t="n">
        <v>0</v>
      </c>
      <c r="F27" s="6" t="n">
        <v>0</v>
      </c>
      <c r="G27" s="6" t="n">
        <v>0</v>
      </c>
    </row>
    <row r="28" customFormat="false" ht="15" hidden="false" customHeight="false" outlineLevel="0" collapsed="false">
      <c r="A28" s="10" t="s">
        <v>125</v>
      </c>
      <c r="B28" s="6" t="n">
        <v>10</v>
      </c>
      <c r="C28" s="6" t="n">
        <v>2</v>
      </c>
      <c r="D28" s="8" t="n">
        <v>0.166944908180301</v>
      </c>
      <c r="E28" s="6" t="n">
        <v>1</v>
      </c>
      <c r="F28" s="6" t="n">
        <v>1</v>
      </c>
      <c r="G28" s="6" t="n">
        <v>0</v>
      </c>
    </row>
    <row r="29" customFormat="false" ht="15" hidden="false" customHeight="false" outlineLevel="0" collapsed="false">
      <c r="A29" s="10" t="s">
        <v>331</v>
      </c>
      <c r="B29" s="6" t="n">
        <v>10</v>
      </c>
      <c r="C29" s="6" t="n">
        <v>4</v>
      </c>
      <c r="D29" s="8" t="n">
        <v>0.121702181633689</v>
      </c>
      <c r="E29" s="6" t="n">
        <v>4</v>
      </c>
      <c r="F29" s="6" t="n">
        <v>0</v>
      </c>
      <c r="G29" s="6" t="n">
        <v>0</v>
      </c>
    </row>
    <row r="30" customFormat="false" ht="15" hidden="false" customHeight="false" outlineLevel="0" collapsed="false">
      <c r="A30" s="10" t="s">
        <v>669</v>
      </c>
      <c r="B30" s="6" t="n">
        <v>10</v>
      </c>
      <c r="C30" s="6" t="n">
        <v>4</v>
      </c>
      <c r="D30" s="8" t="n">
        <v>0.174551482517811</v>
      </c>
      <c r="E30" s="6" t="n">
        <v>4</v>
      </c>
      <c r="F30" s="6" t="n">
        <v>0</v>
      </c>
      <c r="G30" s="6" t="n">
        <v>0</v>
      </c>
    </row>
    <row r="31" customFormat="false" ht="15" hidden="false" customHeight="false" outlineLevel="0" collapsed="false">
      <c r="A31" s="10" t="s">
        <v>804</v>
      </c>
      <c r="B31" s="6" t="n">
        <v>9</v>
      </c>
      <c r="C31" s="6" t="n">
        <v>0</v>
      </c>
      <c r="D31" s="8"/>
      <c r="E31" s="6" t="n">
        <v>0</v>
      </c>
      <c r="F31" s="6" t="n">
        <v>0</v>
      </c>
      <c r="G31" s="6" t="n">
        <v>0</v>
      </c>
    </row>
    <row r="32" customFormat="false" ht="15" hidden="false" customHeight="false" outlineLevel="0" collapsed="false">
      <c r="A32" s="10" t="s">
        <v>206</v>
      </c>
      <c r="B32" s="6" t="n">
        <v>7</v>
      </c>
      <c r="C32" s="6" t="n">
        <v>3</v>
      </c>
      <c r="D32" s="8" t="n">
        <v>0.4004004004004</v>
      </c>
      <c r="E32" s="6" t="n">
        <v>2</v>
      </c>
      <c r="F32" s="6" t="n">
        <v>0</v>
      </c>
      <c r="G32" s="6" t="n">
        <v>1</v>
      </c>
    </row>
    <row r="33" customFormat="false" ht="15" hidden="false" customHeight="false" outlineLevel="0" collapsed="false">
      <c r="A33" s="10" t="s">
        <v>655</v>
      </c>
      <c r="B33" s="6" t="n">
        <v>7</v>
      </c>
      <c r="C33" s="6" t="n">
        <v>5</v>
      </c>
      <c r="D33" s="8" t="n">
        <v>0</v>
      </c>
      <c r="E33" s="6" t="n">
        <v>2</v>
      </c>
      <c r="F33" s="6" t="n">
        <v>3</v>
      </c>
      <c r="G33" s="6" t="n">
        <v>0</v>
      </c>
    </row>
    <row r="34" customFormat="false" ht="15" hidden="false" customHeight="false" outlineLevel="0" collapsed="false">
      <c r="A34" s="10" t="s">
        <v>805</v>
      </c>
      <c r="B34" s="6" t="n">
        <v>7</v>
      </c>
      <c r="C34" s="6" t="n">
        <v>0</v>
      </c>
      <c r="D34" s="8"/>
      <c r="E34" s="6" t="n">
        <v>0</v>
      </c>
      <c r="F34" s="6" t="n">
        <v>0</v>
      </c>
      <c r="G34" s="6" t="n">
        <v>0</v>
      </c>
    </row>
    <row r="35" customFormat="false" ht="15" hidden="false" customHeight="false" outlineLevel="0" collapsed="false">
      <c r="A35" s="10" t="s">
        <v>806</v>
      </c>
      <c r="B35" s="6" t="n">
        <v>7</v>
      </c>
      <c r="C35" s="6" t="n">
        <v>0</v>
      </c>
      <c r="D35" s="8"/>
      <c r="E35" s="6" t="n">
        <v>0</v>
      </c>
      <c r="F35" s="6" t="n">
        <v>0</v>
      </c>
      <c r="G35" s="6" t="n">
        <v>0</v>
      </c>
    </row>
    <row r="36" customFormat="false" ht="15" hidden="false" customHeight="false" outlineLevel="0" collapsed="false">
      <c r="A36" s="10" t="s">
        <v>213</v>
      </c>
      <c r="B36" s="6" t="n">
        <v>6</v>
      </c>
      <c r="C36" s="6" t="n">
        <v>5</v>
      </c>
      <c r="D36" s="8" t="n">
        <v>0</v>
      </c>
      <c r="E36" s="6" t="n">
        <v>2</v>
      </c>
      <c r="F36" s="6" t="n">
        <v>2</v>
      </c>
      <c r="G36" s="6" t="n">
        <v>1</v>
      </c>
    </row>
    <row r="37" customFormat="false" ht="15" hidden="false" customHeight="false" outlineLevel="0" collapsed="false">
      <c r="A37" s="10" t="s">
        <v>279</v>
      </c>
      <c r="B37" s="6" t="n">
        <v>6</v>
      </c>
      <c r="C37" s="6" t="n">
        <v>3</v>
      </c>
      <c r="D37" s="8" t="n">
        <v>-0.0645322661330665</v>
      </c>
      <c r="E37" s="6" t="n">
        <v>1</v>
      </c>
      <c r="F37" s="6" t="n">
        <v>0</v>
      </c>
      <c r="G37" s="6" t="n">
        <v>2</v>
      </c>
    </row>
    <row r="38" customFormat="false" ht="15" hidden="false" customHeight="false" outlineLevel="0" collapsed="false">
      <c r="A38" s="10" t="s">
        <v>681</v>
      </c>
      <c r="B38" s="6" t="n">
        <v>6</v>
      </c>
      <c r="C38" s="6" t="n">
        <v>1</v>
      </c>
      <c r="D38" s="8" t="n">
        <v>0.0784172661870504</v>
      </c>
      <c r="E38" s="6" t="n">
        <v>1</v>
      </c>
      <c r="F38" s="6" t="n">
        <v>0</v>
      </c>
      <c r="G38" s="6" t="n">
        <v>0</v>
      </c>
    </row>
    <row r="39" customFormat="false" ht="15" hidden="false" customHeight="false" outlineLevel="0" collapsed="false">
      <c r="A39" s="10" t="s">
        <v>807</v>
      </c>
      <c r="B39" s="6" t="n">
        <v>6</v>
      </c>
      <c r="C39" s="6" t="n">
        <v>0</v>
      </c>
      <c r="D39" s="8"/>
      <c r="E39" s="6" t="n">
        <v>0</v>
      </c>
      <c r="F39" s="6" t="n">
        <v>0</v>
      </c>
      <c r="G39" s="6" t="n">
        <v>0</v>
      </c>
    </row>
    <row r="40" customFormat="false" ht="15" hidden="false" customHeight="false" outlineLevel="0" collapsed="false">
      <c r="A40" s="10" t="s">
        <v>808</v>
      </c>
      <c r="B40" s="6" t="n">
        <v>6</v>
      </c>
      <c r="C40" s="6" t="n">
        <v>0</v>
      </c>
      <c r="D40" s="8"/>
      <c r="E40" s="6" t="n">
        <v>0</v>
      </c>
      <c r="F40" s="6" t="n">
        <v>0</v>
      </c>
      <c r="G40" s="6" t="n">
        <v>0</v>
      </c>
    </row>
    <row r="41" customFormat="false" ht="15" hidden="false" customHeight="false" outlineLevel="0" collapsed="false">
      <c r="A41" s="10" t="s">
        <v>296</v>
      </c>
      <c r="B41" s="6" t="n">
        <v>5</v>
      </c>
      <c r="C41" s="6" t="n">
        <v>5</v>
      </c>
      <c r="D41" s="8" t="n">
        <v>0.224961479198767</v>
      </c>
      <c r="E41" s="6" t="n">
        <v>5</v>
      </c>
      <c r="F41" s="6" t="n">
        <v>0</v>
      </c>
      <c r="G41" s="6" t="n">
        <v>0</v>
      </c>
    </row>
    <row r="42" customFormat="false" ht="15" hidden="false" customHeight="false" outlineLevel="0" collapsed="false">
      <c r="A42" s="10" t="s">
        <v>307</v>
      </c>
      <c r="B42" s="6" t="n">
        <v>5</v>
      </c>
      <c r="C42" s="6" t="n">
        <v>5</v>
      </c>
      <c r="D42" s="8" t="n">
        <v>-0.0420271940667491</v>
      </c>
      <c r="E42" s="6" t="n">
        <v>0</v>
      </c>
      <c r="F42" s="6" t="n">
        <v>0</v>
      </c>
      <c r="G42" s="6" t="n">
        <v>5</v>
      </c>
    </row>
    <row r="43" customFormat="false" ht="15" hidden="false" customHeight="false" outlineLevel="0" collapsed="false">
      <c r="A43" s="10" t="s">
        <v>809</v>
      </c>
      <c r="B43" s="6" t="n">
        <v>5</v>
      </c>
      <c r="C43" s="6" t="n">
        <v>0</v>
      </c>
      <c r="D43" s="8"/>
      <c r="E43" s="6" t="n">
        <v>0</v>
      </c>
      <c r="F43" s="6" t="n">
        <v>0</v>
      </c>
      <c r="G43" s="6" t="n">
        <v>0</v>
      </c>
    </row>
    <row r="44" customFormat="false" ht="15" hidden="false" customHeight="false" outlineLevel="0" collapsed="false">
      <c r="A44" s="10" t="s">
        <v>28</v>
      </c>
      <c r="B44" s="6" t="n">
        <v>4</v>
      </c>
      <c r="C44" s="6" t="n">
        <v>1</v>
      </c>
      <c r="D44" s="8" t="n">
        <v>0</v>
      </c>
      <c r="E44" s="6" t="n">
        <v>0</v>
      </c>
      <c r="F44" s="6" t="n">
        <v>1</v>
      </c>
      <c r="G44" s="6" t="n">
        <v>0</v>
      </c>
    </row>
    <row r="45" customFormat="false" ht="15" hidden="false" customHeight="false" outlineLevel="0" collapsed="false">
      <c r="A45" s="10" t="s">
        <v>344</v>
      </c>
      <c r="B45" s="6" t="n">
        <v>4</v>
      </c>
      <c r="C45" s="6" t="n">
        <v>3</v>
      </c>
      <c r="D45" s="8" t="n">
        <v>0</v>
      </c>
      <c r="E45" s="6" t="n">
        <v>1</v>
      </c>
      <c r="F45" s="6" t="n">
        <v>1</v>
      </c>
      <c r="G45" s="6" t="n">
        <v>1</v>
      </c>
    </row>
    <row r="46" customFormat="false" ht="15" hidden="false" customHeight="false" outlineLevel="0" collapsed="false">
      <c r="A46" s="10" t="s">
        <v>810</v>
      </c>
      <c r="B46" s="6" t="n">
        <v>4</v>
      </c>
      <c r="C46" s="6" t="n">
        <v>0</v>
      </c>
      <c r="D46" s="8"/>
      <c r="E46" s="6" t="n">
        <v>0</v>
      </c>
      <c r="F46" s="6" t="n">
        <v>0</v>
      </c>
      <c r="G46" s="6" t="n">
        <v>0</v>
      </c>
    </row>
    <row r="47" customFormat="false" ht="15" hidden="false" customHeight="false" outlineLevel="0" collapsed="false">
      <c r="A47" s="10" t="s">
        <v>356</v>
      </c>
      <c r="B47" s="6" t="n">
        <v>4</v>
      </c>
      <c r="C47" s="6" t="n">
        <v>2</v>
      </c>
      <c r="D47" s="8" t="n">
        <v>1.20658387156947</v>
      </c>
      <c r="E47" s="6" t="n">
        <v>2</v>
      </c>
      <c r="F47" s="6" t="n">
        <v>0</v>
      </c>
      <c r="G47" s="6" t="n">
        <v>0</v>
      </c>
    </row>
    <row r="48" customFormat="false" ht="15" hidden="false" customHeight="false" outlineLevel="0" collapsed="false">
      <c r="A48" s="10" t="s">
        <v>811</v>
      </c>
      <c r="B48" s="6" t="n">
        <v>4</v>
      </c>
      <c r="C48" s="6" t="n">
        <v>0</v>
      </c>
      <c r="D48" s="8"/>
      <c r="E48" s="6" t="n">
        <v>0</v>
      </c>
      <c r="F48" s="6" t="n">
        <v>0</v>
      </c>
      <c r="G48" s="6" t="n">
        <v>0</v>
      </c>
    </row>
    <row r="49" customFormat="false" ht="15" hidden="false" customHeight="false" outlineLevel="0" collapsed="false">
      <c r="A49" s="10" t="s">
        <v>812</v>
      </c>
      <c r="B49" s="6" t="n">
        <v>4</v>
      </c>
      <c r="C49" s="6" t="n">
        <v>0</v>
      </c>
      <c r="D49" s="8"/>
      <c r="E49" s="6" t="n">
        <v>0</v>
      </c>
      <c r="F49" s="6" t="n">
        <v>0</v>
      </c>
      <c r="G49" s="6" t="n">
        <v>0</v>
      </c>
    </row>
    <row r="50" customFormat="false" ht="15" hidden="false" customHeight="false" outlineLevel="0" collapsed="false">
      <c r="A50" s="10" t="s">
        <v>678</v>
      </c>
      <c r="B50" s="6" t="n">
        <v>4</v>
      </c>
      <c r="C50" s="6" t="n">
        <v>1</v>
      </c>
      <c r="D50" s="8" t="n">
        <v>0.00724637681159418</v>
      </c>
      <c r="E50" s="6" t="n">
        <v>0</v>
      </c>
      <c r="F50" s="6" t="n">
        <v>1</v>
      </c>
      <c r="G50" s="6" t="n">
        <v>0</v>
      </c>
    </row>
    <row r="51" customFormat="false" ht="15" hidden="false" customHeight="false" outlineLevel="0" collapsed="false">
      <c r="A51" s="10" t="s">
        <v>783</v>
      </c>
      <c r="B51" s="6" t="n">
        <v>4</v>
      </c>
      <c r="C51" s="6" t="n">
        <v>2</v>
      </c>
      <c r="D51" s="8" t="n">
        <v>-0.299533022014676</v>
      </c>
      <c r="E51" s="6" t="n">
        <v>0</v>
      </c>
      <c r="F51" s="6" t="n">
        <v>0</v>
      </c>
      <c r="G51" s="6" t="n">
        <v>2</v>
      </c>
    </row>
    <row r="52" customFormat="false" ht="15" hidden="false" customHeight="false" outlineLevel="0" collapsed="false">
      <c r="A52" s="10" t="s">
        <v>813</v>
      </c>
      <c r="B52" s="6" t="n">
        <v>4</v>
      </c>
      <c r="C52" s="6" t="n">
        <v>0</v>
      </c>
      <c r="D52" s="8"/>
      <c r="E52" s="6" t="n">
        <v>0</v>
      </c>
      <c r="F52" s="6" t="n">
        <v>0</v>
      </c>
      <c r="G52" s="6" t="n">
        <v>0</v>
      </c>
    </row>
    <row r="53" customFormat="false" ht="15" hidden="false" customHeight="false" outlineLevel="0" collapsed="false">
      <c r="A53" s="10" t="s">
        <v>140</v>
      </c>
      <c r="B53" s="6" t="n">
        <v>3</v>
      </c>
      <c r="C53" s="6" t="n">
        <v>1</v>
      </c>
      <c r="D53" s="8" t="n">
        <v>-0.166666666666667</v>
      </c>
      <c r="E53" s="6" t="n">
        <v>0</v>
      </c>
      <c r="F53" s="6" t="n">
        <v>0</v>
      </c>
      <c r="G53" s="6" t="n">
        <v>1</v>
      </c>
    </row>
    <row r="54" customFormat="false" ht="15" hidden="false" customHeight="false" outlineLevel="0" collapsed="false">
      <c r="A54" s="10" t="s">
        <v>201</v>
      </c>
      <c r="B54" s="6" t="n">
        <v>3</v>
      </c>
      <c r="C54" s="6" t="n">
        <v>2</v>
      </c>
      <c r="D54" s="8" t="n">
        <v>-0.00500625782227785</v>
      </c>
      <c r="E54" s="6" t="n">
        <v>0</v>
      </c>
      <c r="F54" s="6" t="n">
        <v>2</v>
      </c>
      <c r="G54" s="6" t="n">
        <v>0</v>
      </c>
    </row>
    <row r="55" customFormat="false" ht="15" hidden="false" customHeight="false" outlineLevel="0" collapsed="false">
      <c r="A55" s="10" t="s">
        <v>224</v>
      </c>
      <c r="B55" s="6" t="n">
        <v>3</v>
      </c>
      <c r="C55" s="6" t="n">
        <v>3</v>
      </c>
      <c r="D55" s="8" t="n">
        <v>0.735647530040053</v>
      </c>
      <c r="E55" s="6" t="n">
        <v>3</v>
      </c>
      <c r="F55" s="6" t="n">
        <v>0</v>
      </c>
      <c r="G55" s="6" t="n">
        <v>0</v>
      </c>
    </row>
    <row r="56" customFormat="false" ht="15" hidden="false" customHeight="false" outlineLevel="0" collapsed="false">
      <c r="A56" s="10" t="s">
        <v>814</v>
      </c>
      <c r="B56" s="6" t="n">
        <v>3</v>
      </c>
      <c r="C56" s="6" t="n">
        <v>0</v>
      </c>
      <c r="D56" s="8"/>
      <c r="E56" s="6" t="n">
        <v>0</v>
      </c>
      <c r="F56" s="6" t="n">
        <v>0</v>
      </c>
      <c r="G56" s="6" t="n">
        <v>0</v>
      </c>
    </row>
    <row r="57" customFormat="false" ht="15" hidden="false" customHeight="false" outlineLevel="0" collapsed="false">
      <c r="A57" s="10" t="s">
        <v>340</v>
      </c>
      <c r="B57" s="6" t="n">
        <v>3</v>
      </c>
      <c r="C57" s="6" t="n">
        <v>1</v>
      </c>
      <c r="D57" s="8" t="n">
        <v>-0.150075037518759</v>
      </c>
      <c r="E57" s="6" t="n">
        <v>0</v>
      </c>
      <c r="F57" s="6" t="n">
        <v>0</v>
      </c>
      <c r="G57" s="6" t="n">
        <v>1</v>
      </c>
    </row>
    <row r="58" customFormat="false" ht="15" hidden="false" customHeight="false" outlineLevel="0" collapsed="false">
      <c r="A58" s="10" t="s">
        <v>815</v>
      </c>
      <c r="B58" s="6" t="n">
        <v>3</v>
      </c>
      <c r="C58" s="6" t="n">
        <v>0</v>
      </c>
      <c r="D58" s="8"/>
      <c r="E58" s="6" t="n">
        <v>0</v>
      </c>
      <c r="F58" s="6" t="n">
        <v>0</v>
      </c>
      <c r="G58" s="6" t="n">
        <v>0</v>
      </c>
    </row>
    <row r="59" customFormat="false" ht="15" hidden="false" customHeight="false" outlineLevel="0" collapsed="false">
      <c r="A59" s="10" t="s">
        <v>816</v>
      </c>
      <c r="B59" s="6" t="n">
        <v>3</v>
      </c>
      <c r="C59" s="6" t="n">
        <v>0</v>
      </c>
      <c r="D59" s="8"/>
      <c r="E59" s="6" t="n">
        <v>0</v>
      </c>
      <c r="F59" s="6" t="n">
        <v>0</v>
      </c>
      <c r="G59" s="6" t="n">
        <v>0</v>
      </c>
    </row>
    <row r="60" customFormat="false" ht="15" hidden="false" customHeight="false" outlineLevel="0" collapsed="false">
      <c r="A60" s="10" t="s">
        <v>817</v>
      </c>
      <c r="B60" s="6" t="n">
        <v>3</v>
      </c>
      <c r="C60" s="6" t="n">
        <v>0</v>
      </c>
      <c r="D60" s="8"/>
      <c r="E60" s="6" t="n">
        <v>0</v>
      </c>
      <c r="F60" s="6" t="n">
        <v>0</v>
      </c>
      <c r="G60" s="6" t="n">
        <v>0</v>
      </c>
    </row>
    <row r="61" customFormat="false" ht="15" hidden="false" customHeight="false" outlineLevel="0" collapsed="false">
      <c r="A61" s="10" t="s">
        <v>710</v>
      </c>
      <c r="B61" s="6" t="n">
        <v>3</v>
      </c>
      <c r="C61" s="6" t="n">
        <v>1</v>
      </c>
      <c r="D61" s="8" t="n">
        <v>0.15</v>
      </c>
      <c r="E61" s="6" t="n">
        <v>1</v>
      </c>
      <c r="F61" s="6" t="n">
        <v>0</v>
      </c>
      <c r="G61" s="6" t="n">
        <v>0</v>
      </c>
    </row>
    <row r="62" customFormat="false" ht="15" hidden="false" customHeight="false" outlineLevel="0" collapsed="false">
      <c r="A62" s="10" t="s">
        <v>818</v>
      </c>
      <c r="B62" s="6" t="n">
        <v>3</v>
      </c>
      <c r="C62" s="6" t="n">
        <v>0</v>
      </c>
      <c r="D62" s="8"/>
      <c r="E62" s="6" t="n">
        <v>0</v>
      </c>
      <c r="F62" s="6" t="n">
        <v>0</v>
      </c>
      <c r="G62" s="6" t="n">
        <v>0</v>
      </c>
    </row>
    <row r="63" customFormat="false" ht="15" hidden="false" customHeight="false" outlineLevel="0" collapsed="false">
      <c r="A63" s="10" t="s">
        <v>819</v>
      </c>
      <c r="B63" s="6" t="n">
        <v>2</v>
      </c>
      <c r="C63" s="6" t="n">
        <v>0</v>
      </c>
      <c r="D63" s="8"/>
      <c r="E63" s="6" t="n">
        <v>0</v>
      </c>
      <c r="F63" s="6" t="n">
        <v>0</v>
      </c>
      <c r="G63" s="6" t="n">
        <v>0</v>
      </c>
    </row>
    <row r="64" customFormat="false" ht="15" hidden="false" customHeight="false" outlineLevel="0" collapsed="false">
      <c r="A64" s="10" t="s">
        <v>820</v>
      </c>
      <c r="B64" s="6" t="n">
        <v>2</v>
      </c>
      <c r="C64" s="6" t="n">
        <v>0</v>
      </c>
      <c r="D64" s="8"/>
      <c r="E64" s="6" t="n">
        <v>0</v>
      </c>
      <c r="F64" s="6" t="n">
        <v>0</v>
      </c>
      <c r="G64" s="6" t="n">
        <v>0</v>
      </c>
    </row>
    <row r="65" customFormat="false" ht="15" hidden="false" customHeight="false" outlineLevel="0" collapsed="false">
      <c r="A65" s="10" t="s">
        <v>155</v>
      </c>
      <c r="B65" s="6" t="n">
        <v>2</v>
      </c>
      <c r="C65" s="6" t="n">
        <v>2</v>
      </c>
      <c r="D65" s="8" t="n">
        <v>0.0875912408759125</v>
      </c>
      <c r="E65" s="6" t="n">
        <v>1</v>
      </c>
      <c r="F65" s="6" t="n">
        <v>1</v>
      </c>
      <c r="G65" s="6" t="n">
        <v>0</v>
      </c>
    </row>
    <row r="66" customFormat="false" ht="15" hidden="false" customHeight="false" outlineLevel="0" collapsed="false">
      <c r="A66" s="10" t="s">
        <v>160</v>
      </c>
      <c r="B66" s="6" t="n">
        <v>2</v>
      </c>
      <c r="C66" s="6" t="n">
        <v>1</v>
      </c>
      <c r="D66" s="8" t="n">
        <v>0.556173526140156</v>
      </c>
      <c r="E66" s="6" t="n">
        <v>1</v>
      </c>
      <c r="F66" s="6" t="n">
        <v>0</v>
      </c>
      <c r="G66" s="6" t="n">
        <v>0</v>
      </c>
    </row>
    <row r="67" customFormat="false" ht="15" hidden="false" customHeight="false" outlineLevel="0" collapsed="false">
      <c r="A67" s="10" t="s">
        <v>821</v>
      </c>
      <c r="B67" s="6" t="n">
        <v>2</v>
      </c>
      <c r="C67" s="6" t="n">
        <v>0</v>
      </c>
      <c r="D67" s="8"/>
      <c r="E67" s="6" t="n">
        <v>0</v>
      </c>
      <c r="F67" s="6" t="n">
        <v>0</v>
      </c>
      <c r="G67" s="6" t="n">
        <v>0</v>
      </c>
    </row>
    <row r="68" customFormat="false" ht="15" hidden="false" customHeight="false" outlineLevel="0" collapsed="false">
      <c r="A68" s="10" t="s">
        <v>822</v>
      </c>
      <c r="B68" s="6" t="n">
        <v>2</v>
      </c>
      <c r="C68" s="6" t="n">
        <v>0</v>
      </c>
      <c r="D68" s="8"/>
      <c r="E68" s="6" t="n">
        <v>0</v>
      </c>
      <c r="F68" s="6" t="n">
        <v>0</v>
      </c>
      <c r="G68" s="6" t="n">
        <v>0</v>
      </c>
    </row>
    <row r="69" customFormat="false" ht="15" hidden="false" customHeight="false" outlineLevel="0" collapsed="false">
      <c r="A69" s="10" t="s">
        <v>290</v>
      </c>
      <c r="B69" s="6" t="n">
        <v>2</v>
      </c>
      <c r="C69" s="6" t="n">
        <v>2</v>
      </c>
      <c r="D69" s="8" t="n">
        <v>0.051676922336418</v>
      </c>
      <c r="E69" s="6" t="n">
        <v>1</v>
      </c>
      <c r="F69" s="6" t="n">
        <v>1</v>
      </c>
      <c r="G69" s="6" t="n">
        <v>0</v>
      </c>
    </row>
    <row r="70" customFormat="false" ht="15" hidden="false" customHeight="false" outlineLevel="0" collapsed="false">
      <c r="A70" s="10" t="s">
        <v>823</v>
      </c>
      <c r="B70" s="6" t="n">
        <v>2</v>
      </c>
      <c r="C70" s="6" t="n">
        <v>0</v>
      </c>
      <c r="D70" s="8"/>
      <c r="E70" s="6" t="n">
        <v>0</v>
      </c>
      <c r="F70" s="6" t="n">
        <v>0</v>
      </c>
      <c r="G70" s="6" t="n">
        <v>0</v>
      </c>
    </row>
    <row r="71" customFormat="false" ht="15" hidden="false" customHeight="false" outlineLevel="0" collapsed="false">
      <c r="A71" s="10" t="s">
        <v>824</v>
      </c>
      <c r="B71" s="6" t="n">
        <v>2</v>
      </c>
      <c r="C71" s="6" t="n">
        <v>0</v>
      </c>
      <c r="D71" s="8"/>
      <c r="E71" s="6" t="n">
        <v>0</v>
      </c>
      <c r="F71" s="6" t="n">
        <v>0</v>
      </c>
      <c r="G71" s="6" t="n">
        <v>0</v>
      </c>
    </row>
    <row r="72" customFormat="false" ht="15" hidden="false" customHeight="false" outlineLevel="0" collapsed="false">
      <c r="A72" s="10" t="s">
        <v>825</v>
      </c>
      <c r="B72" s="6" t="n">
        <v>2</v>
      </c>
      <c r="C72" s="6" t="n">
        <v>0</v>
      </c>
      <c r="D72" s="8"/>
      <c r="E72" s="6" t="n">
        <v>0</v>
      </c>
      <c r="F72" s="6" t="n">
        <v>0</v>
      </c>
      <c r="G72" s="6" t="n">
        <v>0</v>
      </c>
    </row>
    <row r="73" customFormat="false" ht="15" hidden="false" customHeight="false" outlineLevel="0" collapsed="false">
      <c r="A73" s="10" t="s">
        <v>666</v>
      </c>
      <c r="B73" s="6" t="n">
        <v>2</v>
      </c>
      <c r="C73" s="6" t="n">
        <v>1</v>
      </c>
      <c r="D73" s="8" t="n">
        <v>-0.367088607594937</v>
      </c>
      <c r="E73" s="6" t="n">
        <v>0</v>
      </c>
      <c r="F73" s="6" t="n">
        <v>0</v>
      </c>
      <c r="G73" s="6" t="n">
        <v>1</v>
      </c>
    </row>
    <row r="74" customFormat="false" ht="15" hidden="false" customHeight="false" outlineLevel="0" collapsed="false">
      <c r="A74" s="10" t="s">
        <v>826</v>
      </c>
      <c r="B74" s="6" t="n">
        <v>2</v>
      </c>
      <c r="C74" s="6" t="n">
        <v>0</v>
      </c>
      <c r="D74" s="8"/>
      <c r="E74" s="6" t="n">
        <v>0</v>
      </c>
      <c r="F74" s="6" t="n">
        <v>0</v>
      </c>
      <c r="G74" s="6" t="n">
        <v>0</v>
      </c>
    </row>
    <row r="75" customFormat="false" ht="15" hidden="false" customHeight="false" outlineLevel="0" collapsed="false">
      <c r="A75" s="10" t="s">
        <v>695</v>
      </c>
      <c r="B75" s="6" t="n">
        <v>2</v>
      </c>
      <c r="C75" s="6" t="n">
        <v>1</v>
      </c>
      <c r="D75" s="8" t="n">
        <v>0.232091690544413</v>
      </c>
      <c r="E75" s="6" t="n">
        <v>1</v>
      </c>
      <c r="F75" s="6" t="n">
        <v>0</v>
      </c>
      <c r="G75" s="6" t="n">
        <v>0</v>
      </c>
    </row>
    <row r="76" customFormat="false" ht="15" hidden="false" customHeight="false" outlineLevel="0" collapsed="false">
      <c r="A76" s="10" t="s">
        <v>827</v>
      </c>
      <c r="B76" s="6" t="n">
        <v>1</v>
      </c>
      <c r="C76" s="6" t="n">
        <v>0</v>
      </c>
      <c r="D76" s="8"/>
      <c r="E76" s="6" t="n">
        <v>0</v>
      </c>
      <c r="F76" s="6" t="n">
        <v>0</v>
      </c>
      <c r="G76" s="6" t="n">
        <v>0</v>
      </c>
    </row>
    <row r="77" customFormat="false" ht="15" hidden="false" customHeight="false" outlineLevel="0" collapsed="false">
      <c r="A77" s="10" t="s">
        <v>828</v>
      </c>
      <c r="B77" s="6" t="n">
        <v>1</v>
      </c>
      <c r="C77" s="6" t="n">
        <v>0</v>
      </c>
      <c r="D77" s="8"/>
      <c r="E77" s="6" t="n">
        <v>0</v>
      </c>
      <c r="F77" s="6" t="n">
        <v>0</v>
      </c>
      <c r="G77" s="6" t="n">
        <v>0</v>
      </c>
    </row>
    <row r="78" customFormat="false" ht="15" hidden="false" customHeight="false" outlineLevel="0" collapsed="false">
      <c r="A78" s="10" t="s">
        <v>829</v>
      </c>
      <c r="B78" s="6" t="n">
        <v>1</v>
      </c>
      <c r="C78" s="6" t="n">
        <v>0</v>
      </c>
      <c r="D78" s="8"/>
      <c r="E78" s="6" t="n">
        <v>0</v>
      </c>
      <c r="F78" s="6" t="n">
        <v>0</v>
      </c>
      <c r="G78" s="6" t="n">
        <v>0</v>
      </c>
    </row>
    <row r="79" customFormat="false" ht="15" hidden="false" customHeight="false" outlineLevel="0" collapsed="false">
      <c r="A79" s="10" t="s">
        <v>830</v>
      </c>
      <c r="B79" s="6" t="n">
        <v>1</v>
      </c>
      <c r="C79" s="6" t="n">
        <v>0</v>
      </c>
      <c r="D79" s="8"/>
      <c r="E79" s="6" t="n">
        <v>0</v>
      </c>
      <c r="F79" s="6" t="n">
        <v>0</v>
      </c>
      <c r="G79" s="6" t="n">
        <v>0</v>
      </c>
    </row>
    <row r="80" customFormat="false" ht="15" hidden="false" customHeight="false" outlineLevel="0" collapsed="false">
      <c r="A80" s="10" t="s">
        <v>831</v>
      </c>
      <c r="B80" s="6" t="n">
        <v>1</v>
      </c>
      <c r="C80" s="6" t="n">
        <v>0</v>
      </c>
      <c r="D80" s="8"/>
      <c r="E80" s="6" t="n">
        <v>0</v>
      </c>
      <c r="F80" s="6" t="n">
        <v>0</v>
      </c>
      <c r="G80" s="6" t="n">
        <v>0</v>
      </c>
    </row>
    <row r="81" customFormat="false" ht="15" hidden="false" customHeight="false" outlineLevel="0" collapsed="false">
      <c r="A81" s="10" t="s">
        <v>832</v>
      </c>
      <c r="B81" s="6" t="n">
        <v>1</v>
      </c>
      <c r="C81" s="6" t="n">
        <v>0</v>
      </c>
      <c r="D81" s="8"/>
      <c r="E81" s="6" t="n">
        <v>0</v>
      </c>
      <c r="F81" s="6" t="n">
        <v>0</v>
      </c>
      <c r="G81" s="6" t="n">
        <v>0</v>
      </c>
    </row>
    <row r="82" customFormat="false" ht="15" hidden="false" customHeight="false" outlineLevel="0" collapsed="false">
      <c r="A82" s="10" t="s">
        <v>286</v>
      </c>
      <c r="B82" s="6" t="n">
        <v>1</v>
      </c>
      <c r="C82" s="6" t="n">
        <v>1</v>
      </c>
      <c r="D82" s="8" t="n">
        <v>0.328515842134519</v>
      </c>
      <c r="E82" s="6" t="n">
        <v>1</v>
      </c>
      <c r="F82" s="6" t="n">
        <v>0</v>
      </c>
      <c r="G82" s="6" t="n">
        <v>0</v>
      </c>
    </row>
    <row r="83" customFormat="false" ht="15" hidden="false" customHeight="false" outlineLevel="0" collapsed="false">
      <c r="A83" s="10" t="s">
        <v>833</v>
      </c>
      <c r="B83" s="6" t="n">
        <v>1</v>
      </c>
      <c r="C83" s="6" t="n">
        <v>0</v>
      </c>
      <c r="D83" s="8"/>
      <c r="E83" s="6" t="n">
        <v>0</v>
      </c>
      <c r="F83" s="6" t="n">
        <v>0</v>
      </c>
      <c r="G83" s="6" t="n">
        <v>0</v>
      </c>
    </row>
    <row r="84" customFormat="false" ht="15" hidden="false" customHeight="false" outlineLevel="0" collapsed="false">
      <c r="A84" s="10" t="s">
        <v>834</v>
      </c>
      <c r="B84" s="6" t="n">
        <v>1</v>
      </c>
      <c r="C84" s="6" t="n">
        <v>0</v>
      </c>
      <c r="D84" s="8"/>
      <c r="E84" s="6" t="n">
        <v>0</v>
      </c>
      <c r="F84" s="6" t="n">
        <v>0</v>
      </c>
      <c r="G84" s="6" t="n">
        <v>0</v>
      </c>
    </row>
    <row r="85" customFormat="false" ht="15" hidden="false" customHeight="false" outlineLevel="0" collapsed="false">
      <c r="A85" s="10" t="s">
        <v>835</v>
      </c>
      <c r="B85" s="6" t="n">
        <v>1</v>
      </c>
      <c r="C85" s="6" t="n">
        <v>0</v>
      </c>
      <c r="D85" s="8"/>
      <c r="E85" s="6" t="n">
        <v>0</v>
      </c>
      <c r="F85" s="6" t="n">
        <v>0</v>
      </c>
      <c r="G85" s="6" t="n">
        <v>0</v>
      </c>
    </row>
    <row r="86" customFormat="false" ht="15" hidden="false" customHeight="false" outlineLevel="0" collapsed="false">
      <c r="A86" s="10" t="s">
        <v>836</v>
      </c>
      <c r="B86" s="6" t="n">
        <v>1</v>
      </c>
      <c r="C86" s="6" t="n">
        <v>0</v>
      </c>
      <c r="D86" s="8"/>
      <c r="E86" s="6" t="n">
        <v>0</v>
      </c>
      <c r="F86" s="6" t="n">
        <v>0</v>
      </c>
      <c r="G86" s="6" t="n">
        <v>0</v>
      </c>
    </row>
    <row r="87" customFormat="false" ht="15" hidden="false" customHeight="false" outlineLevel="0" collapsed="false">
      <c r="A87" s="10" t="s">
        <v>837</v>
      </c>
      <c r="B87" s="6" t="n">
        <v>1</v>
      </c>
      <c r="C87" s="6" t="n">
        <v>0</v>
      </c>
      <c r="D87" s="8"/>
      <c r="E87" s="6" t="n">
        <v>0</v>
      </c>
      <c r="F87" s="6" t="n">
        <v>0</v>
      </c>
      <c r="G87" s="6" t="n">
        <v>0</v>
      </c>
    </row>
    <row r="88" customFormat="false" ht="15" hidden="false" customHeight="false" outlineLevel="0" collapsed="false">
      <c r="A88" s="10" t="s">
        <v>838</v>
      </c>
      <c r="B88" s="6" t="n">
        <v>1</v>
      </c>
      <c r="C88" s="6" t="n">
        <v>0</v>
      </c>
      <c r="D88" s="8"/>
      <c r="E88" s="6" t="n">
        <v>0</v>
      </c>
      <c r="F88" s="6" t="n">
        <v>0</v>
      </c>
      <c r="G88" s="6" t="n">
        <v>0</v>
      </c>
    </row>
    <row r="90" customFormat="false" ht="15" hidden="false" customHeight="false" outlineLevel="0" collapsed="false">
      <c r="A90" s="2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2026-09-24T22:50:51Z</dcterms:created>
  <dc:creator>openpyxl</dc:creator>
  <dc:description/>
  <dc:language>en-US</dc:language>
  <cp:lastModifiedBy/>
  <dcterms:modified xsi:type="dcterms:W3CDTF">2026-09-24T22:50:51Z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