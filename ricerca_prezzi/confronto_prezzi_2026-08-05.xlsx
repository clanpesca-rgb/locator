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  <sheet name="Dettaglio confronti" sheetId="2" state="visible" r:id="rId4"/>
    <sheet name="Marchi focus" sheetId="3" state="visible" r:id="rId5"/>
    <sheet name="Campione verificato" sheetId="4" state="visible" r:id="rId6"/>
  </sheets>
  <definedNames>
    <definedName function="false" hidden="true" localSheetId="3" name="_xlnm._FilterDatabase" vbProcedure="false">'Campione verificato'!$A$3:$J$51</definedName>
    <definedName function="false" hidden="true" localSheetId="1" name="_xlnm._FilterDatabase" vbProcedure="false">'Dettaglio confronti'!$A$1:$L$167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7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8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9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0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1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2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3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4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5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6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7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  <comment ref="E18" authorId="0">
      <text>
        <r>
          <rPr>
            <sz val="10"/>
            <rFont val="Arial"/>
            <family val="2"/>
          </rPr>
          <t xml:space="preserve">Mediana dei delta (prezzo Clan Pesca vs miglior concorrente per prodotto), calcolata dai dati del foglio 'Dettaglio confronti', rilevazione 05/08/2026. Da ricalcolare se si aggiornano i dati.</t>
        </r>
      </text>
    </comment>
  </commentList>
</comments>
</file>

<file path=xl/sharedStrings.xml><?xml version="1.0" encoding="utf-8"?>
<sst xmlns="http://schemas.openxmlformats.org/spreadsheetml/2006/main" count="1955" uniqueCount="467">
  <si>
    <t xml:space="preserve">Ricerca prezzi Clan Pesca vs concorrenti online</t>
  </si>
  <si>
    <t xml:space="preserve">Rilevazione del 05/08/2026 — perimetro: 13 marchi prioritari (esclusi Shimano, Tuning, Daiwa assente)</t>
  </si>
  <si>
    <t xml:space="preserve">Prodotti di marca censiti sul sito</t>
  </si>
  <si>
    <t xml:space="preserve">Prodotti dei 13 marchi prioritari (senza Tuning)</t>
  </si>
  <si>
    <t xml:space="preserve">Prodotti con almeno un prezzo concorrente</t>
  </si>
  <si>
    <t xml:space="preserve">Righe di confronto nel dettaglio</t>
  </si>
  <si>
    <t xml:space="preserve">Delta mediano vs miglior prezzo concorrente</t>
  </si>
  <si>
    <t xml:space="preserve">Prodotti più cari del mercato (&gt;+2%)</t>
  </si>
  <si>
    <t xml:space="preserve">In linea (±2%)</t>
  </si>
  <si>
    <t xml:space="preserve">Più economici (&lt;−2%)</t>
  </si>
  <si>
    <t xml:space="preserve">I conteggi 77/18/22 sono per prodotto (miglior concorrente), livelli esatto+famiglia; calcolo del 05/08/2026 dai dati del foglio 'Dettaglio confronti'.</t>
  </si>
  <si>
    <t xml:space="preserve">Priorità operative</t>
  </si>
  <si>
    <t xml:space="preserve">1. Tubertini (+14% mediano): ritocco listino mirato — il caso più serio</t>
  </si>
  <si>
    <t xml:space="preserve">2. Molix e BKK (+8% diffuso): un ~−5% riallinea metà dei confrontabili</t>
  </si>
  <si>
    <t xml:space="preserve">3. Owner, Golden Catch, Bone (119 prodotti): nessuna concorrenza online — margine difendibile, investire in visibilità</t>
  </si>
  <si>
    <t xml:space="preserve">4. Panther Martin e Favorite: già in linea, non toccare</t>
  </si>
  <si>
    <t xml:space="preserve">5. Prima di ogni ribasso: aprire il link nel dettaglio e verificare se il concorrente è in svendita outlet</t>
  </si>
  <si>
    <t xml:space="preserve">Fogli: 'Marchi focus' = vista per marca · 'Dettaglio confronti' = 166 righe con link · 'Campione verificato' = 37 prodotti controllati a mano</t>
  </si>
  <si>
    <t xml:space="preserve">ID</t>
  </si>
  <si>
    <t xml:space="preserve">Prodotto Clan Pesca</t>
  </si>
  <si>
    <t xml:space="preserve">Marca</t>
  </si>
  <si>
    <t xml:space="preserve">Categoria</t>
  </si>
  <si>
    <t xml:space="preserve">Prezzo Clan Pesca</t>
  </si>
  <si>
    <t xml:space="preserve">Sito concorrente</t>
  </si>
  <si>
    <t xml:space="preserve">Livello match</t>
  </si>
  <si>
    <t xml:space="preserve">Prezzo concorrente</t>
  </si>
  <si>
    <t xml:space="preserve">Disponibilità</t>
  </si>
  <si>
    <t xml:space="preserve">Delta %</t>
  </si>
  <si>
    <t xml:space="preserve">Link concorrente</t>
  </si>
  <si>
    <t xml:space="preserve">Data</t>
  </si>
  <si>
    <t xml:space="preserve">23200</t>
  </si>
  <si>
    <t xml:space="preserve">Amo BKK Titan Diver+</t>
  </si>
  <si>
    <t xml:space="preserve">bkk</t>
  </si>
  <si>
    <t xml:space="preserve">Mare</t>
  </si>
  <si>
    <t xml:space="preserve">bassstoreitaly.com</t>
  </si>
  <si>
    <t xml:space="preserve">famiglia</t>
  </si>
  <si>
    <t xml:space="preserve">disponibile</t>
  </si>
  <si>
    <t xml:space="preserve">apri pagina</t>
  </si>
  <si>
    <t xml:space="preserve">05/08/2026</t>
  </si>
  <si>
    <t xml:space="preserve">pescapromo.it</t>
  </si>
  <si>
    <t xml:space="preserve">esaurito</t>
  </si>
  <si>
    <t xml:space="preserve">23331</t>
  </si>
  <si>
    <t xml:space="preserve">BKK Assist Spear 21 SS</t>
  </si>
  <si>
    <t xml:space="preserve">Spinning e Casting</t>
  </si>
  <si>
    <t xml:space="preserve">esatto</t>
  </si>
  <si>
    <t xml:space="preserve">23338</t>
  </si>
  <si>
    <t xml:space="preserve">BKK Assist Spear UVO</t>
  </si>
  <si>
    <t xml:space="preserve">26220</t>
  </si>
  <si>
    <t xml:space="preserve">BKK Basilisk</t>
  </si>
  <si>
    <t xml:space="preserve">28015</t>
  </si>
  <si>
    <t xml:space="preserve">BKK CHAIN-21 STINGER</t>
  </si>
  <si>
    <t xml:space="preserve">Luccio</t>
  </si>
  <si>
    <t xml:space="preserve">23446</t>
  </si>
  <si>
    <t xml:space="preserve">BKK Chaser Punch LRF</t>
  </si>
  <si>
    <t xml:space="preserve">24618</t>
  </si>
  <si>
    <t xml:space="preserve">BKK Complete Armor Point OCD Kit</t>
  </si>
  <si>
    <t xml:space="preserve">23239</t>
  </si>
  <si>
    <t xml:space="preserve">BKK DSS Worm</t>
  </si>
  <si>
    <t xml:space="preserve">23242</t>
  </si>
  <si>
    <t xml:space="preserve">BKK DSS Worm UVO</t>
  </si>
  <si>
    <t xml:space="preserve">26309</t>
  </si>
  <si>
    <t xml:space="preserve">BKK Dropshot Armor Point</t>
  </si>
  <si>
    <t xml:space="preserve">26268</t>
  </si>
  <si>
    <t xml:space="preserve">BKK Dropshot Long Shank Armor Point</t>
  </si>
  <si>
    <t xml:space="preserve">23370</t>
  </si>
  <si>
    <t xml:space="preserve">BKK Duolock Snap 51</t>
  </si>
  <si>
    <t xml:space="preserve">23228</t>
  </si>
  <si>
    <t xml:space="preserve">BKK Native 12 BL SS</t>
  </si>
  <si>
    <t xml:space="preserve">23220</t>
  </si>
  <si>
    <t xml:space="preserve">BKK Native 12 SS</t>
  </si>
  <si>
    <t xml:space="preserve">25234</t>
  </si>
  <si>
    <t xml:space="preserve">BKK OCD Accessory Box-M</t>
  </si>
  <si>
    <t xml:space="preserve">25231</t>
  </si>
  <si>
    <t xml:space="preserve">BKK OCD Accessory Box-S</t>
  </si>
  <si>
    <t xml:space="preserve">25220</t>
  </si>
  <si>
    <t xml:space="preserve">BKK OCD Tackle System-A2</t>
  </si>
  <si>
    <t xml:space="preserve">25225</t>
  </si>
  <si>
    <t xml:space="preserve">BKK OCD Tackle System-A2 Loaded</t>
  </si>
  <si>
    <t xml:space="preserve">23216</t>
  </si>
  <si>
    <t xml:space="preserve">BKK Reefmaster NP</t>
  </si>
  <si>
    <t xml:space="preserve">23466</t>
  </si>
  <si>
    <t xml:space="preserve">BKK Round Elite Classic</t>
  </si>
  <si>
    <t xml:space="preserve">Siluro</t>
  </si>
  <si>
    <t xml:space="preserve">26342</t>
  </si>
  <si>
    <t xml:space="preserve">BKK Silent Chaser EWG</t>
  </si>
  <si>
    <t xml:space="preserve">26236</t>
  </si>
  <si>
    <t xml:space="preserve">BKK Siren</t>
  </si>
  <si>
    <t xml:space="preserve">26235</t>
  </si>
  <si>
    <t xml:space="preserve">BKK Siren #2/0</t>
  </si>
  <si>
    <t xml:space="preserve">probabile</t>
  </si>
  <si>
    <t xml:space="preserve">23310</t>
  </si>
  <si>
    <t xml:space="preserve">BKK Spear 21 SS</t>
  </si>
  <si>
    <t xml:space="preserve">23326</t>
  </si>
  <si>
    <t xml:space="preserve">BKK Spear 21 UVO</t>
  </si>
  <si>
    <t xml:space="preserve">23471</t>
  </si>
  <si>
    <t xml:space="preserve">BKK Split Ring 41</t>
  </si>
  <si>
    <t xml:space="preserve">23384</t>
  </si>
  <si>
    <t xml:space="preserve">BKK Split Ring 51</t>
  </si>
  <si>
    <t xml:space="preserve">26287</t>
  </si>
  <si>
    <t xml:space="preserve">BKK Titan Diver</t>
  </si>
  <si>
    <t xml:space="preserve">32533</t>
  </si>
  <si>
    <t xml:space="preserve">BKK Trailer Hook</t>
  </si>
  <si>
    <t xml:space="preserve">23342</t>
  </si>
  <si>
    <t xml:space="preserve">BKK Trigger 21</t>
  </si>
  <si>
    <t xml:space="preserve">23346</t>
  </si>
  <si>
    <t xml:space="preserve">BKK Trigger 21 UVO</t>
  </si>
  <si>
    <t xml:space="preserve">23360</t>
  </si>
  <si>
    <t xml:space="preserve">BKK Trigger Lead</t>
  </si>
  <si>
    <t xml:space="preserve">27979</t>
  </si>
  <si>
    <t xml:space="preserve">Favorite Alligator Casting</t>
  </si>
  <si>
    <t xml:space="preserve">favorite</t>
  </si>
  <si>
    <t xml:space="preserve">30789</t>
  </si>
  <si>
    <t xml:space="preserve">Favorite Alligator Travel</t>
  </si>
  <si>
    <t xml:space="preserve">22535</t>
  </si>
  <si>
    <t xml:space="preserve">Favorite Creed</t>
  </si>
  <si>
    <t xml:space="preserve">17276</t>
  </si>
  <si>
    <t xml:space="preserve">Favorite White Bird</t>
  </si>
  <si>
    <t xml:space="preserve">17294</t>
  </si>
  <si>
    <t xml:space="preserve">Favorite X1 PRO</t>
  </si>
  <si>
    <t xml:space="preserve">Canne</t>
  </si>
  <si>
    <t xml:space="preserve">16814</t>
  </si>
  <si>
    <t xml:space="preserve">Fladen Wading Jacket</t>
  </si>
  <si>
    <t xml:space="preserve">fladen</t>
  </si>
  <si>
    <t xml:space="preserve">Abbigliamento</t>
  </si>
  <si>
    <t xml:space="preserve">24564</t>
  </si>
  <si>
    <t xml:space="preserve">Giacca Fladen Authentic 5.0 Olive</t>
  </si>
  <si>
    <t xml:space="preserve">24286</t>
  </si>
  <si>
    <t xml:space="preserve">Hart Canna Nation Cat</t>
  </si>
  <si>
    <t xml:space="preserve">hart</t>
  </si>
  <si>
    <t xml:space="preserve">31390</t>
  </si>
  <si>
    <t xml:space="preserve">Major Craft Ceana Italy Edition</t>
  </si>
  <si>
    <t xml:space="preserve">major-craft</t>
  </si>
  <si>
    <t xml:space="preserve">mondo-pesca.it (ora escaepescashop.it)</t>
  </si>
  <si>
    <t xml:space="preserve">26592</t>
  </si>
  <si>
    <t xml:space="preserve">Mulinello Ceana Major Craft</t>
  </si>
  <si>
    <t xml:space="preserve">27161</t>
  </si>
  <si>
    <t xml:space="preserve">Mikado Cat Territory</t>
  </si>
  <si>
    <t xml:space="preserve">mikado</t>
  </si>
  <si>
    <t xml:space="preserve">12764</t>
  </si>
  <si>
    <t xml:space="preserve">Molix Craw Flex 3"</t>
  </si>
  <si>
    <t xml:space="preserve">molix</t>
  </si>
  <si>
    <t xml:space="preserve">Creature &amp; Craw</t>
  </si>
  <si>
    <t xml:space="preserve">webpesca.it</t>
  </si>
  <si>
    <t xml:space="preserve">14873</t>
  </si>
  <si>
    <t xml:space="preserve">Molix Creature 4"</t>
  </si>
  <si>
    <t xml:space="preserve">12767</t>
  </si>
  <si>
    <t xml:space="preserve">Molix Finder Jerk 150</t>
  </si>
  <si>
    <t xml:space="preserve">Jerkbait</t>
  </si>
  <si>
    <t xml:space="preserve">25878</t>
  </si>
  <si>
    <t xml:space="preserve">Molix Finder Jerk EVO 150 SS</t>
  </si>
  <si>
    <t xml:space="preserve">14925</t>
  </si>
  <si>
    <t xml:space="preserve">Molix Fioretto Speciale</t>
  </si>
  <si>
    <t xml:space="preserve">Monopezzo</t>
  </si>
  <si>
    <t xml:space="preserve">24349</t>
  </si>
  <si>
    <t xml:space="preserve">Molix Fioretto Trofeo Casting</t>
  </si>
  <si>
    <t xml:space="preserve">12820</t>
  </si>
  <si>
    <t xml:space="preserve">Molix Freaky Craw 2.8"</t>
  </si>
  <si>
    <t xml:space="preserve">12808</t>
  </si>
  <si>
    <t xml:space="preserve">Molix Freaky Craw 4"</t>
  </si>
  <si>
    <t xml:space="preserve">12828</t>
  </si>
  <si>
    <t xml:space="preserve">Molix Freaky Flex 3"</t>
  </si>
  <si>
    <t xml:space="preserve">25874</t>
  </si>
  <si>
    <t xml:space="preserve">Molix Glide Bait 130 Dying</t>
  </si>
  <si>
    <t xml:space="preserve">20672</t>
  </si>
  <si>
    <t xml:space="preserve">Molix Glide Bait 130 Slow Sinking</t>
  </si>
  <si>
    <t xml:space="preserve">12791</t>
  </si>
  <si>
    <t xml:space="preserve">Molix Glide Bait 178 Slow Sinking</t>
  </si>
  <si>
    <t xml:space="preserve">Swimbait</t>
  </si>
  <si>
    <t xml:space="preserve">12878</t>
  </si>
  <si>
    <t xml:space="preserve">Molix Hybrid Swimmer 165</t>
  </si>
  <si>
    <t xml:space="preserve">12952</t>
  </si>
  <si>
    <t xml:space="preserve">Molix Hyper Split Ring</t>
  </si>
  <si>
    <t xml:space="preserve">Girelle &amp; Moschettoni</t>
  </si>
  <si>
    <t xml:space="preserve">12957</t>
  </si>
  <si>
    <t xml:space="preserve">Molix Insert Tungsten</t>
  </si>
  <si>
    <t xml:space="preserve">Piombi</t>
  </si>
  <si>
    <t xml:space="preserve">31765</t>
  </si>
  <si>
    <t xml:space="preserve">Molix Jubarino Cm 5 Gr 2.5</t>
  </si>
  <si>
    <t xml:space="preserve">25928</t>
  </si>
  <si>
    <t xml:space="preserve">Molix Jugulo Plus Casting Jig Gr 10</t>
  </si>
  <si>
    <t xml:space="preserve">25963</t>
  </si>
  <si>
    <t xml:space="preserve">Molix Jugulo Plus Casting Jig Gr 60</t>
  </si>
  <si>
    <t xml:space="preserve">14913</t>
  </si>
  <si>
    <t xml:space="preserve">Molix Outset Casting Series</t>
  </si>
  <si>
    <t xml:space="preserve">20454</t>
  </si>
  <si>
    <t xml:space="preserve">Molix Pop Frog Cm 6.5 Gr 18</t>
  </si>
  <si>
    <t xml:space="preserve">12897</t>
  </si>
  <si>
    <t xml:space="preserve">Molix RT Fork Flex 3"</t>
  </si>
  <si>
    <t xml:space="preserve">Siliconici</t>
  </si>
  <si>
    <t xml:space="preserve">12939</t>
  </si>
  <si>
    <t xml:space="preserve">Molix RT Fork Flex 4"</t>
  </si>
  <si>
    <t xml:space="preserve">12908</t>
  </si>
  <si>
    <t xml:space="preserve">Molix RT Fork Flex 5"</t>
  </si>
  <si>
    <t xml:space="preserve">26420</t>
  </si>
  <si>
    <t xml:space="preserve">Molix RT Shad 4" Slim</t>
  </si>
  <si>
    <t xml:space="preserve">14095</t>
  </si>
  <si>
    <t xml:space="preserve">Molix Ra Grub 6"</t>
  </si>
  <si>
    <t xml:space="preserve">14938</t>
  </si>
  <si>
    <t xml:space="preserve">Molix Ra Shad 2"</t>
  </si>
  <si>
    <t xml:space="preserve">14952</t>
  </si>
  <si>
    <t xml:space="preserve">Molix Ra Shad 2.5"</t>
  </si>
  <si>
    <t xml:space="preserve">14264</t>
  </si>
  <si>
    <t xml:space="preserve">Molix Rod Case</t>
  </si>
  <si>
    <t xml:space="preserve">Foderi Portacanne</t>
  </si>
  <si>
    <t xml:space="preserve">16071</t>
  </si>
  <si>
    <t xml:space="preserve">Molix S-Stick</t>
  </si>
  <si>
    <t xml:space="preserve">14898</t>
  </si>
  <si>
    <t xml:space="preserve">Molix SC Bug</t>
  </si>
  <si>
    <t xml:space="preserve">16020</t>
  </si>
  <si>
    <t xml:space="preserve">Molix Sator Worm 4"</t>
  </si>
  <si>
    <t xml:space="preserve">16029</t>
  </si>
  <si>
    <t xml:space="preserve">Molix Sator Worm 5"</t>
  </si>
  <si>
    <t xml:space="preserve">14838</t>
  </si>
  <si>
    <t xml:space="preserve">Molix Sculpo DR Rattlin</t>
  </si>
  <si>
    <t xml:space="preserve">Crankbait</t>
  </si>
  <si>
    <t xml:space="preserve">31267</t>
  </si>
  <si>
    <t xml:space="preserve">Molix Sight Marker</t>
  </si>
  <si>
    <t xml:space="preserve">25535</t>
  </si>
  <si>
    <t xml:space="preserve">Molix Sneaky Worm</t>
  </si>
  <si>
    <t xml:space="preserve">26915</t>
  </si>
  <si>
    <t xml:space="preserve">Molix Stick Flex 2.75  Cm 7</t>
  </si>
  <si>
    <t xml:space="preserve">32481</t>
  </si>
  <si>
    <t xml:space="preserve">Molix Supernato Frog R</t>
  </si>
  <si>
    <t xml:space="preserve">14132</t>
  </si>
  <si>
    <t xml:space="preserve">Molix Trago 65 Spyblade</t>
  </si>
  <si>
    <t xml:space="preserve">Lipless</t>
  </si>
  <si>
    <t xml:space="preserve">13919</t>
  </si>
  <si>
    <t xml:space="preserve">Molix Waterproof Elite</t>
  </si>
  <si>
    <t xml:space="preserve">Borse</t>
  </si>
  <si>
    <t xml:space="preserve">megafish.it</t>
  </si>
  <si>
    <t xml:space="preserve">13051</t>
  </si>
  <si>
    <t xml:space="preserve">OMTD Drop Shot OH1200</t>
  </si>
  <si>
    <t xml:space="preserve">omtd</t>
  </si>
  <si>
    <t xml:space="preserve">Ami da Dropshot</t>
  </si>
  <si>
    <t xml:space="preserve">13727</t>
  </si>
  <si>
    <t xml:space="preserve">OMTD Ned Rig Jig Head OJ1900</t>
  </si>
  <si>
    <t xml:space="preserve">Jig Head</t>
  </si>
  <si>
    <t xml:space="preserve">13106</t>
  </si>
  <si>
    <t xml:space="preserve">OMTD Single Lure Hook OH1700</t>
  </si>
  <si>
    <t xml:space="preserve">Ami</t>
  </si>
  <si>
    <t xml:space="preserve">13333</t>
  </si>
  <si>
    <t xml:space="preserve">OMTD Swimbait Hook OH2700</t>
  </si>
  <si>
    <t xml:space="preserve">Ami da Gomma</t>
  </si>
  <si>
    <t xml:space="preserve">13072</t>
  </si>
  <si>
    <t xml:space="preserve">OMTD Swimbait Weighted OH1500</t>
  </si>
  <si>
    <t xml:space="preserve">15162</t>
  </si>
  <si>
    <t xml:space="preserve">OMTD Swimming WT OJ1800</t>
  </si>
  <si>
    <t xml:space="preserve">13367</t>
  </si>
  <si>
    <t xml:space="preserve">OMTD T Power Finesse OJ200</t>
  </si>
  <si>
    <t xml:space="preserve">13366</t>
  </si>
  <si>
    <t xml:space="preserve">OMTD T Trout OJ700</t>
  </si>
  <si>
    <t xml:space="preserve">13291</t>
  </si>
  <si>
    <t xml:space="preserve">Omtd Big Swimbait Bladed Hook</t>
  </si>
  <si>
    <t xml:space="preserve">13305</t>
  </si>
  <si>
    <t xml:space="preserve">Omtd Big Swimbait Hook</t>
  </si>
  <si>
    <t xml:space="preserve">16930</t>
  </si>
  <si>
    <t xml:space="preserve">Panther Martin Holographic Single Hook</t>
  </si>
  <si>
    <t xml:space="preserve">panther-martin</t>
  </si>
  <si>
    <t xml:space="preserve">16957</t>
  </si>
  <si>
    <t xml:space="preserve">Panther Martin Hula Runner</t>
  </si>
  <si>
    <t xml:space="preserve">16885</t>
  </si>
  <si>
    <t xml:space="preserve">Panther Martin Marmorata</t>
  </si>
  <si>
    <t xml:space="preserve">16857</t>
  </si>
  <si>
    <t xml:space="preserve">Panther Martin Vespa Originale</t>
  </si>
  <si>
    <t xml:space="preserve">25372</t>
  </si>
  <si>
    <t xml:space="preserve">Borsa Tubertini Offshore 550</t>
  </si>
  <si>
    <t xml:space="preserve">tubertini</t>
  </si>
  <si>
    <t xml:space="preserve">25418</t>
  </si>
  <si>
    <t xml:space="preserve">Canna Tubertini Ionic 2 TLS</t>
  </si>
  <si>
    <t xml:space="preserve">pescamia.eu</t>
  </si>
  <si>
    <t xml:space="preserve">25430</t>
  </si>
  <si>
    <t xml:space="preserve">Canna Tubertini Sylan</t>
  </si>
  <si>
    <t xml:space="preserve">14367</t>
  </si>
  <si>
    <t xml:space="preserve">Mulinello Tubertini Hylas FD</t>
  </si>
  <si>
    <t xml:space="preserve">Frizione anteriore</t>
  </si>
  <si>
    <t xml:space="preserve">13877</t>
  </si>
  <si>
    <t xml:space="preserve">Tubertini Borsa Titan</t>
  </si>
  <si>
    <t xml:space="preserve">14672</t>
  </si>
  <si>
    <t xml:space="preserve">Tubertini Bos Fluorocarbon 50 MT</t>
  </si>
  <si>
    <t xml:space="preserve">Fili Fluorocarbon</t>
  </si>
  <si>
    <t xml:space="preserve">21676</t>
  </si>
  <si>
    <t xml:space="preserve">Tubertini Crossover 2 Mt 2.20 Lb 6-12</t>
  </si>
  <si>
    <t xml:space="preserve">13434</t>
  </si>
  <si>
    <t xml:space="preserve">Tubertini Enduro Bag</t>
  </si>
  <si>
    <t xml:space="preserve">13860</t>
  </si>
  <si>
    <t xml:space="preserve">Tubertini Express Feeder</t>
  </si>
  <si>
    <t xml:space="preserve">Ledgering - Feeder - Inglese</t>
  </si>
  <si>
    <t xml:space="preserve">13891</t>
  </si>
  <si>
    <t xml:space="preserve">Tubertini Fatality</t>
  </si>
  <si>
    <t xml:space="preserve">13445</t>
  </si>
  <si>
    <t xml:space="preserve">Tubertini Fodero Cesena</t>
  </si>
  <si>
    <t xml:space="preserve">13442</t>
  </si>
  <si>
    <t xml:space="preserve">Tubertini Fodero Forlì</t>
  </si>
  <si>
    <t xml:space="preserve">25105</t>
  </si>
  <si>
    <t xml:space="preserve">Tubertini Fodero Jocker 1</t>
  </si>
  <si>
    <t xml:space="preserve">20092</t>
  </si>
  <si>
    <t xml:space="preserve">Tubertini Kaliber Surf</t>
  </si>
  <si>
    <t xml:space="preserve">13886</t>
  </si>
  <si>
    <t xml:space="preserve">Tubertini Level Chrome</t>
  </si>
  <si>
    <t xml:space="preserve">Bolognese</t>
  </si>
  <si>
    <t xml:space="preserve">25387</t>
  </si>
  <si>
    <t xml:space="preserve">Tubertini Maggi Box</t>
  </si>
  <si>
    <t xml:space="preserve">17256</t>
  </si>
  <si>
    <t xml:space="preserve">Tubertini Mulinello Artis</t>
  </si>
  <si>
    <t xml:space="preserve">17239</t>
  </si>
  <si>
    <t xml:space="preserve">Tubertini Mulinello Chrome</t>
  </si>
  <si>
    <t xml:space="preserve">17247</t>
  </si>
  <si>
    <t xml:space="preserve">Tubertini Mulinello Dark</t>
  </si>
  <si>
    <t xml:space="preserve">17231</t>
  </si>
  <si>
    <t xml:space="preserve">Tubertini Mulinello Wasp</t>
  </si>
  <si>
    <t xml:space="preserve">27258</t>
  </si>
  <si>
    <t xml:space="preserve">Tubertini Mulinello Xide</t>
  </si>
  <si>
    <t xml:space="preserve">15292</t>
  </si>
  <si>
    <t xml:space="preserve">Tubertini Noway Mt 50</t>
  </si>
  <si>
    <t xml:space="preserve">Fili Nylon</t>
  </si>
  <si>
    <t xml:space="preserve">13437</t>
  </si>
  <si>
    <t xml:space="preserve">Tubertini Offshore Bag</t>
  </si>
  <si>
    <t xml:space="preserve">28032</t>
  </si>
  <si>
    <t xml:space="preserve">Tubertini Pencil Feeder</t>
  </si>
  <si>
    <t xml:space="preserve">Tecniche Varie</t>
  </si>
  <si>
    <t xml:space="preserve">20096</t>
  </si>
  <si>
    <t xml:space="preserve">Tubertini Performer</t>
  </si>
  <si>
    <t xml:space="preserve">21681</t>
  </si>
  <si>
    <t xml:space="preserve">Tubertini Sea Master</t>
  </si>
  <si>
    <t xml:space="preserve">14702</t>
  </si>
  <si>
    <t xml:space="preserve">Tubertini Testa di Guadino Impact</t>
  </si>
  <si>
    <t xml:space="preserve">Nasse &amp; Guadini</t>
  </si>
  <si>
    <t xml:space="preserve">14463</t>
  </si>
  <si>
    <t xml:space="preserve">Tubertini Vertigo Black</t>
  </si>
  <si>
    <t xml:space="preserve">Posizionamento per marca — 13 marchi prioritari</t>
  </si>
  <si>
    <t xml:space="preserve">Delta mediano calcolato sul miglior prezzo concorrente per prodotto (livelli 'esatto' e 'famiglia'). Conteggi ricalcolati con formule dal foglio 'Dettaglio confronti'.</t>
  </si>
  <si>
    <t xml:space="preserve">Prodotti a catalogo</t>
  </si>
  <si>
    <t xml:space="preserve">Righe confronto</t>
  </si>
  <si>
    <t xml:space="preserve">Prodotti confrontati</t>
  </si>
  <si>
    <t xml:space="preserve">Delta mediano</t>
  </si>
  <si>
    <t xml:space="preserve">Indicazione</t>
  </si>
  <si>
    <t xml:space="preserve">Ricarico diffuso ~+8%: tanti piccoli ritocchi possibili</t>
  </si>
  <si>
    <t xml:space="preserve">Un solo riscontro: quasi nessun concorrente online in Italia</t>
  </si>
  <si>
    <t xml:space="preserve">PRIORITÀ: quasi tutto sopra mercato (+14%)</t>
  </si>
  <si>
    <t xml:space="preserve">owner</t>
  </si>
  <si>
    <t xml:space="preserve">Nessun riscontro sui siti verificabili: prezzo libero</t>
  </si>
  <si>
    <t xml:space="preserve">Come Molix: +8% diffuso</t>
  </si>
  <si>
    <t xml:space="preserve">golden-catch</t>
  </si>
  <si>
    <t xml:space="preserve">Nessun riscontro: prezzo libero</t>
  </si>
  <si>
    <t xml:space="preserve">Solo 2 capi matchati e in svendita altrove: verificare a mano</t>
  </si>
  <si>
    <t xml:space="preserve">+11% su ami/jig</t>
  </si>
  <si>
    <t xml:space="preserve">bone</t>
  </si>
  <si>
    <t xml:space="preserve">Un solo riscontro: di fatto soli online in Italia</t>
  </si>
  <si>
    <t xml:space="preserve">Mulinello Ceana +16%</t>
  </si>
  <si>
    <t xml:space="preserve">Quasi in linea (+4%)</t>
  </si>
  <si>
    <t xml:space="preserve">Già competitivi (−2%): non toccare</t>
  </si>
  <si>
    <t xml:space="preserve">Nota: 'Prodotti a catalogo' da censimento pagine marca clanpesca.com del 05/08/2026 (esclusa categoria Tuning). Marche senza delta = nessun prezzo concorrente trovato.</t>
  </si>
  <si>
    <t xml:space="preserve">Campione di 37 prodotti verificati a mano (rilevazioni esatte con URL)</t>
  </si>
  <si>
    <t xml:space="preserve">Prodotto</t>
  </si>
  <si>
    <t xml:space="preserve">Sito</t>
  </si>
  <si>
    <t xml:space="preserve">Esito</t>
  </si>
  <si>
    <t xml:space="preserve">Nota</t>
  </si>
  <si>
    <t xml:space="preserve">Link</t>
  </si>
  <si>
    <t xml:space="preserve">P01</t>
  </si>
  <si>
    <t xml:space="preserve">Shimano Twin Power 2500FE</t>
  </si>
  <si>
    <t xml:space="preserve">Mulinelli</t>
  </si>
  <si>
    <t xml:space="preserve">ok</t>
  </si>
  <si>
    <t xml:space="preserve">pagina famiglia FE, prezzo unico</t>
  </si>
  <si>
    <t xml:space="preserve">apri</t>
  </si>
  <si>
    <t xml:space="preserve">nd</t>
  </si>
  <si>
    <t xml:space="preserve">24 Twin Power FE, variante 2500</t>
  </si>
  <si>
    <t xml:space="preserve">variante 2500 FE</t>
  </si>
  <si>
    <t xml:space="preserve">P02</t>
  </si>
  <si>
    <t xml:space="preserve">Shimano Calcutta Conquest MD 401XGLH</t>
  </si>
  <si>
    <t xml:space="preserve">variante_diversa</t>
  </si>
  <si>
    <t xml:space="preserve">MD 301 (taglia 300 vs 400)</t>
  </si>
  <si>
    <t xml:space="preserve">MD LH 301XG (taglia 300 vs 400); scontato da 499</t>
  </si>
  <si>
    <t xml:space="preserve">P03</t>
  </si>
  <si>
    <t xml:space="preserve">Shimano Curado 151HG</t>
  </si>
  <si>
    <t xml:space="preserve">Curado M 151HG, SKU CU151HGM identico</t>
  </si>
  <si>
    <t xml:space="preserve">Curado K MGL 151HG (serie precedente); K 301 disp. 185.17</t>
  </si>
  <si>
    <t xml:space="preserve">P04</t>
  </si>
  <si>
    <t xml:space="preserve">Shimano SLX BFS XG</t>
  </si>
  <si>
    <t xml:space="preserve">SLX BFS XG 8.2:1</t>
  </si>
  <si>
    <t xml:space="preserve">SLX BFS XG left hand</t>
  </si>
  <si>
    <t xml:space="preserve">P05</t>
  </si>
  <si>
    <t xml:space="preserve">Shimano Cardiff 301 A</t>
  </si>
  <si>
    <t xml:space="preserve">Cardiff 301 A</t>
  </si>
  <si>
    <t xml:space="preserve">Cardiff 301A LH</t>
  </si>
  <si>
    <t xml:space="preserve">P06</t>
  </si>
  <si>
    <t xml:space="preserve">Shimano Aero XR 4000</t>
  </si>
  <si>
    <t xml:space="preserve">pagina famiglia Aero XR, prezzo unico</t>
  </si>
  <si>
    <t xml:space="preserve">dimensionepesca.com</t>
  </si>
  <si>
    <t xml:space="preserve">Aero XR 4000; anche C3000 135 e 5000 150</t>
  </si>
  <si>
    <t xml:space="preserve">fishingitalia.com</t>
  </si>
  <si>
    <t xml:space="preserve">Aero XR 4000</t>
  </si>
  <si>
    <t xml:space="preserve">Aero XR 4000; C3000/C5000 pure esauriti</t>
  </si>
  <si>
    <t xml:space="preserve">Aero XR C3000</t>
  </si>
  <si>
    <t xml:space="preserve">P08</t>
  </si>
  <si>
    <t xml:space="preserve">Shimano Poison Adrena Spinning 266L Mt 1.98 Gr 3/10</t>
  </si>
  <si>
    <t xml:space="preserve">Poison Adrena 2024 1.98m 3-10g = 266L</t>
  </si>
  <si>
    <t xml:space="preserve">2610ML-S 2.08m (listata come Jackall)</t>
  </si>
  <si>
    <t xml:space="preserve">P09</t>
  </si>
  <si>
    <t xml:space="preserve">Shimano Beast Master Cat Fish Lure Cm 240 Gr 150</t>
  </si>
  <si>
    <t xml:space="preserve">Lure 2.4m 150g; 2.2m disp. 132.95</t>
  </si>
  <si>
    <t xml:space="preserve">P10</t>
  </si>
  <si>
    <t xml:space="preserve">Molix Fioretto Speciale 70FR</t>
  </si>
  <si>
    <t xml:space="preserve">Fioretto Speciale Stickbait SW-83S</t>
  </si>
  <si>
    <t xml:space="preserve">Fioretto Speciale SW-80S spinning (serie SW)</t>
  </si>
  <si>
    <t xml:space="preserve">P12</t>
  </si>
  <si>
    <t xml:space="preserve">Favorite Alligator Travel 7'.7" 4 Oz 120 Gr</t>
  </si>
  <si>
    <t xml:space="preserve">pagina famiglia Alligator Travel, prezzo unico</t>
  </si>
  <si>
    <t xml:space="preserve">P13</t>
  </si>
  <si>
    <t xml:space="preserve">Smith KOZ Expedition Magnum Husky 69H Cm 210 Gr 220</t>
  </si>
  <si>
    <t xml:space="preserve">KOZ Expedition serie standard; Magnum Husky assente</t>
  </si>
  <si>
    <t xml:space="preserve">P14</t>
  </si>
  <si>
    <t xml:space="preserve">Molix Finder Jerk EVO 90 SP</t>
  </si>
  <si>
    <t xml:space="preserve">Artificiali</t>
  </si>
  <si>
    <t xml:space="preserve">Finder Jerk EVO 90</t>
  </si>
  <si>
    <t xml:space="preserve">EVO 110 SP (misura 110 vs 90)</t>
  </si>
  <si>
    <t xml:space="preserve">P15</t>
  </si>
  <si>
    <t xml:space="preserve">Craw Flex 3"</t>
  </si>
  <si>
    <t xml:space="preserve">3" 7.5cm; min colori 4.80, altri 7.13; tutti esauriti</t>
  </si>
  <si>
    <t xml:space="preserve">P16</t>
  </si>
  <si>
    <t xml:space="preserve">Molix Elite Area Spoon Gr 0.8</t>
  </si>
  <si>
    <t xml:space="preserve">solo 1.5/2.5/3.5g; 0.8g assente</t>
  </si>
  <si>
    <t xml:space="preserve">P17</t>
  </si>
  <si>
    <t xml:space="preserve">Keitech Swing Impact 3"</t>
  </si>
  <si>
    <t xml:space="preserve">Swing Impact 3"</t>
  </si>
  <si>
    <t xml:space="preserve">pagina famiglia, prezzo min (misura nd)</t>
  </si>
  <si>
    <t xml:space="preserve">misura 4" (3" assente)</t>
  </si>
  <si>
    <t xml:space="preserve">P18</t>
  </si>
  <si>
    <t xml:space="preserve">Gary Yamamoto Senko 4</t>
  </si>
  <si>
    <t xml:space="preserve">Senko 10cm (4") 10pz, sconto da 17.74</t>
  </si>
  <si>
    <t xml:space="preserve">Senko 4"; range colori 14.63-16.13; esauriti</t>
  </si>
  <si>
    <t xml:space="preserve">P20</t>
  </si>
  <si>
    <t xml:space="preserve">Lucky Craft LC 2.5 Shallow Crank</t>
  </si>
  <si>
    <t xml:space="preserve">LC 2.5 Shallow Crank</t>
  </si>
  <si>
    <t xml:space="preserve">P21</t>
  </si>
  <si>
    <t xml:space="preserve">LiveTarget Freestyle Frog 3"</t>
  </si>
  <si>
    <t xml:space="preserve">ICT Freestyle Frog 7.5cm</t>
  </si>
  <si>
    <t xml:space="preserve">P22</t>
  </si>
  <si>
    <t xml:space="preserve">Panther Martin Vespa Originale Gold Red 4</t>
  </si>
  <si>
    <t xml:space="preserve">prezzo unico pagina (misure varie)</t>
  </si>
  <si>
    <t xml:space="preserve">P24</t>
  </si>
  <si>
    <t xml:space="preserve">Shimano Yasei Trigger Twitch "S" Cm 6 Gr 4</t>
  </si>
  <si>
    <t xml:space="preserve">versione SP 60mm (S sinking assente)</t>
  </si>
  <si>
    <t xml:space="preserve">versione S ma 90mm</t>
  </si>
  <si>
    <t xml:space="preserve">P26</t>
  </si>
  <si>
    <t xml:space="preserve">Tubertini Braided Line Viral MT 150 Ø 0.14</t>
  </si>
  <si>
    <t xml:space="preserve">Fili</t>
  </si>
  <si>
    <t xml:space="preserve">Viral 8X 300mt (serie e metratura diverse); sconto da 29.90</t>
  </si>
  <si>
    <t xml:space="preserve">P28</t>
  </si>
  <si>
    <t xml:space="preserve">Momoi Trecciato Ryujin MT 130 Ultra Soft 8 Braided PE  Ø 0.16</t>
  </si>
  <si>
    <t xml:space="preserve">Ryujin green 130m 0.16 25lb; 0.14 50, 0.18 45</t>
  </si>
  <si>
    <t xml:space="preserve">Ryujin orange 300m</t>
  </si>
  <si>
    <t xml:space="preserve">PE Ryujin 100m 0.16 (metratura diversa)</t>
  </si>
  <si>
    <t xml:space="preserve">P32</t>
  </si>
  <si>
    <t xml:space="preserve">BKK Siren #3/0</t>
  </si>
  <si>
    <t xml:space="preserve">Minuteria</t>
  </si>
  <si>
    <t xml:space="preserve">Siren #3/0 6pz; tutte le misure esaurite</t>
  </si>
  <si>
    <t xml:space="preserve">misura 2/0 6pz</t>
  </si>
  <si>
    <t xml:space="preserve">P35</t>
  </si>
  <si>
    <t xml:space="preserve">Mehio Scatola Versus VS 3020 NS Black</t>
  </si>
  <si>
    <t xml:space="preserve">Accessori</t>
  </si>
  <si>
    <t xml:space="preserve">Slit Form Case 3020NS (non VS-3020NS)</t>
  </si>
  <si>
    <t xml:space="preserve">Slit Form Case 3020NS foam</t>
  </si>
  <si>
    <t xml:space="preserve">P36</t>
  </si>
  <si>
    <t xml:space="preserve">Valigetta Meiho VS 3080 Col Green</t>
  </si>
  <si>
    <t xml:space="preserve">VS-3080, piu colori disponibili</t>
  </si>
  <si>
    <t xml:space="preserve">VS-3080 black; listino 144.00</t>
  </si>
  <si>
    <t xml:space="preserve">Esiti 'non_trovato' e siti bloccati: vedi confronto_prezzi.csv nel repository. Shimano nel campione = dato storico, fuori dalle raccomandazioni su indicazione del titolare.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</si>
</sst>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.0%;\-0.0%;0.0%"/>
    <numFmt numFmtId="166" formatCode="&quot;€ 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color rgb="FFC00000"/>
        <sz val="10"/>
      </font>
    </dxf>
    <dxf>
      <font>
        <name val="Arial"/>
        <charset val="1"/>
        <family val="0"/>
        <color rgb="FF0061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assstoreitaly.com/it/bkk-fishing-hooks-titan-diver-" TargetMode="External"/><Relationship Id="rId2" Type="http://schemas.openxmlformats.org/officeDocument/2006/relationships/hyperlink" Target="https://pescapromo.it/t/ami-per-predatori/ami-bkk-titandiver-gold" TargetMode="External"/><Relationship Id="rId3" Type="http://schemas.openxmlformats.org/officeDocument/2006/relationships/hyperlink" Target="https://pescapromo.it/t/ancorette/ancoretta-bkk-assist-spear-21-ss" TargetMode="External"/><Relationship Id="rId4" Type="http://schemas.openxmlformats.org/officeDocument/2006/relationships/hyperlink" Target="https://pescapromo.it/t/ancorette/ancoretta-bkk-assist-spear-21-uvo" TargetMode="External"/><Relationship Id="rId5" Type="http://schemas.openxmlformats.org/officeDocument/2006/relationships/hyperlink" Target="https://bassstoreitaly.com/it/bkk-fishing-hooks-basilisk" TargetMode="External"/><Relationship Id="rId6" Type="http://schemas.openxmlformats.org/officeDocument/2006/relationships/hyperlink" Target="https://pescapromo.it/t/ami-per-predatori/bkk-basilisk-offset-hook" TargetMode="External"/><Relationship Id="rId7" Type="http://schemas.openxmlformats.org/officeDocument/2006/relationships/hyperlink" Target="https://bassstoreitaly.com/it/bkk-fishing-hooks-chain-21-stinger-rig" TargetMode="External"/><Relationship Id="rId8" Type="http://schemas.openxmlformats.org/officeDocument/2006/relationships/hyperlink" Target="https://pescapromo.it/t/terminali-con-stingers/bkk-chain-21-stinger-rig" TargetMode="External"/><Relationship Id="rId9" Type="http://schemas.openxmlformats.org/officeDocument/2006/relationships/hyperlink" Target="https://pescapromo.it/t/teste-piombate/bkk-silent-chaser-punch-lrf-jighead-5pcs" TargetMode="External"/><Relationship Id="rId10" Type="http://schemas.openxmlformats.org/officeDocument/2006/relationships/hyperlink" Target="https://bassstoreitaly.com/it/bkk-fishing-hooks-complete-armor-point-ocd-kit" TargetMode="External"/><Relationship Id="rId11" Type="http://schemas.openxmlformats.org/officeDocument/2006/relationships/hyperlink" Target="https://pescapromo.it/t/ami-per-predatori/sistema-di-stoccaggio-dei-materiali-bkk-complete-armor-point-ocd-kit" TargetMode="External"/><Relationship Id="rId12" Type="http://schemas.openxmlformats.org/officeDocument/2006/relationships/hyperlink" Target="https://bassstoreitaly.com/it/bkk-fishing-hooks-dss-worm" TargetMode="External"/><Relationship Id="rId13" Type="http://schemas.openxmlformats.org/officeDocument/2006/relationships/hyperlink" Target="https://pescapromo.it/t/ami-drop-shot/amo-dropshot-bkk-dss-worm-uv-4-6-pezzi" TargetMode="External"/><Relationship Id="rId14" Type="http://schemas.openxmlformats.org/officeDocument/2006/relationships/hyperlink" Target="https://bassstoreitaly.com/it/bkk-fishing-hooks-dss-worm-uvo" TargetMode="External"/><Relationship Id="rId15" Type="http://schemas.openxmlformats.org/officeDocument/2006/relationships/hyperlink" Target="https://bassstoreitaly.com/it/bkk-fishing-hooks-armor-point-dropshot-long-shank" TargetMode="External"/><Relationship Id="rId16" Type="http://schemas.openxmlformats.org/officeDocument/2006/relationships/hyperlink" Target="https://bassstoreitaly.com/it/bkk-fishing-hooks-armor-point-dropshot-long-shank" TargetMode="External"/><Relationship Id="rId17" Type="http://schemas.openxmlformats.org/officeDocument/2006/relationships/hyperlink" Target="https://bassstoreitaly.com/it/bkk-fishing-hooks-duolock-snap-51" TargetMode="External"/><Relationship Id="rId18" Type="http://schemas.openxmlformats.org/officeDocument/2006/relationships/hyperlink" Target="https://pescapromo.it/t/girelle-da-pesca/bkk-duolock-snap-51" TargetMode="External"/><Relationship Id="rId19" Type="http://schemas.openxmlformats.org/officeDocument/2006/relationships/hyperlink" Target="https://bassstoreitaly.com/it/bkk-fishing-hooks-native-12-bl-ss" TargetMode="External"/><Relationship Id="rId20" Type="http://schemas.openxmlformats.org/officeDocument/2006/relationships/hyperlink" Target="https://bassstoreitaly.com/it/bkk-fishing-hooks-native-12-bl-ss" TargetMode="External"/><Relationship Id="rId21" Type="http://schemas.openxmlformats.org/officeDocument/2006/relationships/hyperlink" Target="https://bassstoreitaly.com/it/bkk-fishing-hooks-ocd-accessory-box" TargetMode="External"/><Relationship Id="rId22" Type="http://schemas.openxmlformats.org/officeDocument/2006/relationships/hyperlink" Target="https://bassstoreitaly.com/it/bkk-fishing-hooks-ocd-accessory-box" TargetMode="External"/><Relationship Id="rId23" Type="http://schemas.openxmlformats.org/officeDocument/2006/relationships/hyperlink" Target="https://pescapromo.it/t/scatole-da-pesca/bkk-ocd-tackle-system-a2-loaded-m-incl-20xm-8xs-cassette" TargetMode="External"/><Relationship Id="rId24" Type="http://schemas.openxmlformats.org/officeDocument/2006/relationships/hyperlink" Target="https://pescapromo.it/t/scatole-da-pesca/bkk-ocd-tackle-system-a2-loaded-m-incl-20xm-8xs-cassette" TargetMode="External"/><Relationship Id="rId25" Type="http://schemas.openxmlformats.org/officeDocument/2006/relationships/hyperlink" Target="https://bassstoreitaly.com/it/bkk-fishing-hooks-reef-master-np" TargetMode="External"/><Relationship Id="rId26" Type="http://schemas.openxmlformats.org/officeDocument/2006/relationships/hyperlink" Target="https://pescapromo.it/t/ami-per-pesca-in-mare/bkk-sf-reefmaster-np-amo-lungo-da-pesca-di-mare" TargetMode="External"/><Relationship Id="rId27" Type="http://schemas.openxmlformats.org/officeDocument/2006/relationships/hyperlink" Target="https://pescapromo.it/t/teste-piombate/bkk-round-elite-classic-bait-keeper-jighead-10g-3-pezzi" TargetMode="External"/><Relationship Id="rId28" Type="http://schemas.openxmlformats.org/officeDocument/2006/relationships/hyperlink" Target="https://pescapromo.it/t/teste-piombate/bkk-silent-chaser-1x-ewg-round-head-jighead-1" TargetMode="External"/><Relationship Id="rId29" Type="http://schemas.openxmlformats.org/officeDocument/2006/relationships/hyperlink" Target="https://bassstoreitaly.com/it/bkk-siren-worm-hook" TargetMode="External"/><Relationship Id="rId30" Type="http://schemas.openxmlformats.org/officeDocument/2006/relationships/hyperlink" Target="https://pescapromo.it/t/ami-per-predatori/ami-bkk-siren-worm-taglia-2-0-6-pezzi" TargetMode="External"/><Relationship Id="rId31" Type="http://schemas.openxmlformats.org/officeDocument/2006/relationships/hyperlink" Target="https://pescapromo.it/t/ami-per-predatori/ami-bkk-siren-worm-taglia-2-0-6-pezzi" TargetMode="External"/><Relationship Id="rId32" Type="http://schemas.openxmlformats.org/officeDocument/2006/relationships/hyperlink" Target="https://bassstoreitaly.com/it/bkk-fishing-hooks-spear-21-ss" TargetMode="External"/><Relationship Id="rId33" Type="http://schemas.openxmlformats.org/officeDocument/2006/relationships/hyperlink" Target="https://pescapromo.it/t/ancorette/ancoretta-bkk-assist-spear-21-ss" TargetMode="External"/><Relationship Id="rId34" Type="http://schemas.openxmlformats.org/officeDocument/2006/relationships/hyperlink" Target="https://bassstoreitaly.com/it/bkk-fishing-hooks-spear-21-uvo" TargetMode="External"/><Relationship Id="rId35" Type="http://schemas.openxmlformats.org/officeDocument/2006/relationships/hyperlink" Target="https://pescapromo.it/t/ancorette/ancoretta-bkk-assist-spear-21-uvo" TargetMode="External"/><Relationship Id="rId36" Type="http://schemas.openxmlformats.org/officeDocument/2006/relationships/hyperlink" Target="https://bassstoreitaly.com/it/bkk-fishing-hooks-split-ring-41" TargetMode="External"/><Relationship Id="rId37" Type="http://schemas.openxmlformats.org/officeDocument/2006/relationships/hyperlink" Target="https://bassstoreitaly.com/it/bkk-fishing-hooks-split-ring-51" TargetMode="External"/><Relationship Id="rId38" Type="http://schemas.openxmlformats.org/officeDocument/2006/relationships/hyperlink" Target="https://pescapromo.it/t/girelle-da-pesca/bkk-split-ring-51" TargetMode="External"/><Relationship Id="rId39" Type="http://schemas.openxmlformats.org/officeDocument/2006/relationships/hyperlink" Target="https://bassstoreitaly.com/it/bkk-fishing-hooks-titan-diver-" TargetMode="External"/><Relationship Id="rId40" Type="http://schemas.openxmlformats.org/officeDocument/2006/relationships/hyperlink" Target="https://pescapromo.it/t/ami-per-predatori/ami-bkk-titandiver-gold" TargetMode="External"/><Relationship Id="rId41" Type="http://schemas.openxmlformats.org/officeDocument/2006/relationships/hyperlink" Target="https://bassstoreitaly.com/it/bkk-fishing-hooks-trailer-hook" TargetMode="External"/><Relationship Id="rId42" Type="http://schemas.openxmlformats.org/officeDocument/2006/relationships/hyperlink" Target="https://pescapromo.it/t/ami-per-predatori/bkk-trailer-hook-5pcs" TargetMode="External"/><Relationship Id="rId43" Type="http://schemas.openxmlformats.org/officeDocument/2006/relationships/hyperlink" Target="https://bassstoreitaly.com/it/bkk-fishing-hooks-bb-trigger-21" TargetMode="External"/><Relationship Id="rId44" Type="http://schemas.openxmlformats.org/officeDocument/2006/relationships/hyperlink" Target="https://pescapromo.it/t/terminali-con-stingers/bkk-bb-trigger-21-stinger-rig" TargetMode="External"/><Relationship Id="rId45" Type="http://schemas.openxmlformats.org/officeDocument/2006/relationships/hyperlink" Target="https://pescapromo.it/t/terminali-con-stingers/bkk-bb-trigger-21-stinger-rig-uvo" TargetMode="External"/><Relationship Id="rId46" Type="http://schemas.openxmlformats.org/officeDocument/2006/relationships/hyperlink" Target="https://bassstoreitaly.com/it/bkk-fishing-hooks-bb-trigger-lead" TargetMode="External"/><Relationship Id="rId47" Type="http://schemas.openxmlformats.org/officeDocument/2006/relationships/hyperlink" Target="https://bassstoreitaly.com/it/favorite-alligator-casting" TargetMode="External"/><Relationship Id="rId48" Type="http://schemas.openxmlformats.org/officeDocument/2006/relationships/hyperlink" Target="https://bassstoreitaly.com/it/favorite-alligator-travel-casting" TargetMode="External"/><Relationship Id="rId49" Type="http://schemas.openxmlformats.org/officeDocument/2006/relationships/hyperlink" Target="https://bassstoreitaly.com/it/favorite-creed-sw-spinning" TargetMode="External"/><Relationship Id="rId50" Type="http://schemas.openxmlformats.org/officeDocument/2006/relationships/hyperlink" Target="https://bassstoreitaly.com/it/favorite-white-bird-spinning" TargetMode="External"/><Relationship Id="rId51" Type="http://schemas.openxmlformats.org/officeDocument/2006/relationships/hyperlink" Target="https://bassstoreitaly.com/it/favorite-x1-pro-spinning" TargetMode="External"/><Relationship Id="rId52" Type="http://schemas.openxmlformats.org/officeDocument/2006/relationships/hyperlink" Target="https://pescapromo.it/t/giacche-da-pesca/fladen-authentic-wading-jacket" TargetMode="External"/><Relationship Id="rId53" Type="http://schemas.openxmlformats.org/officeDocument/2006/relationships/hyperlink" Target="https://pescapromo.it/t/giacche-da-pesca/giacca-da-pesca-fladen-jacket-authentic-5-0-olive" TargetMode="External"/><Relationship Id="rId54" Type="http://schemas.openxmlformats.org/officeDocument/2006/relationships/hyperlink" Target="https://pescapromo.it/t/mulinelli/mulinello-da-pesce-gatto-hart-nation-cat-8000" TargetMode="External"/><Relationship Id="rId55" Type="http://schemas.openxmlformats.org/officeDocument/2006/relationships/hyperlink" Target="https://bassstoreitaly.com/it/major-craft-ceana-italy-edition" TargetMode="External"/><Relationship Id="rId56" Type="http://schemas.openxmlformats.org/officeDocument/2006/relationships/hyperlink" Target="https://escaepescashop.it/prodotto/major-craft-ceana-italy-edition/" TargetMode="External"/><Relationship Id="rId57" Type="http://schemas.openxmlformats.org/officeDocument/2006/relationships/hyperlink" Target="https://bassstoreitaly.com/it/major-craft-ceana-italy-edition" TargetMode="External"/><Relationship Id="rId58" Type="http://schemas.openxmlformats.org/officeDocument/2006/relationships/hyperlink" Target="https://escaepescashop.it/prodotto/major-craft-ceana-fw-spinning/" TargetMode="External"/><Relationship Id="rId59" Type="http://schemas.openxmlformats.org/officeDocument/2006/relationships/hyperlink" Target="https://pescapromo.it/t/canne-da-baitcasting/canna-da-baitcasting-major-craft-ceana-2-05m-7-28g" TargetMode="External"/><Relationship Id="rId60" Type="http://schemas.openxmlformats.org/officeDocument/2006/relationships/hyperlink" Target="https://pescapromo.it/t/mulinelli/mulinello-mikado-cat-territory" TargetMode="External"/><Relationship Id="rId61" Type="http://schemas.openxmlformats.org/officeDocument/2006/relationships/hyperlink" Target="https://www.webpesca.it/shop/artificiale-craw-molix-flex-3-7-5-cm-blu-notte/" TargetMode="External"/><Relationship Id="rId62" Type="http://schemas.openxmlformats.org/officeDocument/2006/relationships/hyperlink" Target="https://pescapromo.it/t/creature-baits/molix-sc-bug-4-5-pezzi" TargetMode="External"/><Relationship Id="rId63" Type="http://schemas.openxmlformats.org/officeDocument/2006/relationships/hyperlink" Target="https://bassstoreitaly.com/it/molix-finder-jerk-evo-150-ss" TargetMode="External"/><Relationship Id="rId64" Type="http://schemas.openxmlformats.org/officeDocument/2006/relationships/hyperlink" Target="https://bassstoreitaly.com/it/molix-finder-jerk-evo-150-ss" TargetMode="External"/><Relationship Id="rId65" Type="http://schemas.openxmlformats.org/officeDocument/2006/relationships/hyperlink" Target="https://bassstoreitaly.com/it/molix-fioretto-speciale-jackfin-stikbait-spinning" TargetMode="External"/><Relationship Id="rId66" Type="http://schemas.openxmlformats.org/officeDocument/2006/relationships/hyperlink" Target="https://bassstoreitaly.com/it/molix-fioretto-trofeo" TargetMode="External"/><Relationship Id="rId67" Type="http://schemas.openxmlformats.org/officeDocument/2006/relationships/hyperlink" Target="https://escaepescashop.it/prodotto/molix-freaky-craw-28/" TargetMode="External"/><Relationship Id="rId68" Type="http://schemas.openxmlformats.org/officeDocument/2006/relationships/hyperlink" Target="https://escaepescashop.it/prodotto/molix-freaky-craw-4/" TargetMode="External"/><Relationship Id="rId69" Type="http://schemas.openxmlformats.org/officeDocument/2006/relationships/hyperlink" Target="https://www.webpesca.it/shop/artificiale-craw-molix-freaky-craw-4-10-cm-black-blue/" TargetMode="External"/><Relationship Id="rId70" Type="http://schemas.openxmlformats.org/officeDocument/2006/relationships/hyperlink" Target="https://www.webpesca.it/shop/artificiale-craw-molix-freaky-flex-3-7-5-cm-mixed-pack/" TargetMode="External"/><Relationship Id="rId71" Type="http://schemas.openxmlformats.org/officeDocument/2006/relationships/hyperlink" Target="https://bassstoreitaly.com/it/molix-glide-bait-130-dying" TargetMode="External"/><Relationship Id="rId72" Type="http://schemas.openxmlformats.org/officeDocument/2006/relationships/hyperlink" Target="https://pescapromo.it/t/swimbaits/molix-glide-bait-130-slow-sinking-swimbait-13cm-30g" TargetMode="External"/><Relationship Id="rId73" Type="http://schemas.openxmlformats.org/officeDocument/2006/relationships/hyperlink" Target="https://pescapromo.it/t/swimbaits/molix-glide-bait-178-slow-sinking" TargetMode="External"/><Relationship Id="rId74" Type="http://schemas.openxmlformats.org/officeDocument/2006/relationships/hyperlink" Target="https://bassstoreitaly.com/it/molix-hybrid-swimmer-165" TargetMode="External"/><Relationship Id="rId75" Type="http://schemas.openxmlformats.org/officeDocument/2006/relationships/hyperlink" Target="https://bassstoreitaly.com/it/molix-hyper-split-ring" TargetMode="External"/><Relationship Id="rId76" Type="http://schemas.openxmlformats.org/officeDocument/2006/relationships/hyperlink" Target="https://bassstoreitaly.com/it/molix-tungsten-insert-2" TargetMode="External"/><Relationship Id="rId77" Type="http://schemas.openxmlformats.org/officeDocument/2006/relationships/hyperlink" Target="https://www.webpesca.it/shop/artificiale-jerkbait-molix-jubarino-5-cm-2-5-gr-chart-black/" TargetMode="External"/><Relationship Id="rId78" Type="http://schemas.openxmlformats.org/officeDocument/2006/relationships/hyperlink" Target="https://www.webpesca.it/shop/artificiale-metal-jig-molix-jugulo-plus-casting-10-5-cm-60-gr-crazy-pink/" TargetMode="External"/><Relationship Id="rId79" Type="http://schemas.openxmlformats.org/officeDocument/2006/relationships/hyperlink" Target="https://www.webpesca.it/shop/artificiale-metal-jig-molix-jugulo-plus-casting-10-5-cm-60-gr-crazy-pink/" TargetMode="External"/><Relationship Id="rId80" Type="http://schemas.openxmlformats.org/officeDocument/2006/relationships/hyperlink" Target="https://bassstoreitaly.com/it/molix-outset-all-round-series-spinning" TargetMode="External"/><Relationship Id="rId81" Type="http://schemas.openxmlformats.org/officeDocument/2006/relationships/hyperlink" Target="https://www.webpesca.it/shop/artificiale-rana-molix-pop-frog-6-5-cm-18-gr-bone/" TargetMode="External"/><Relationship Id="rId82" Type="http://schemas.openxmlformats.org/officeDocument/2006/relationships/hyperlink" Target="https://escaepescashop.it/prodotto/molix-rt-fork-flex-3/" TargetMode="External"/><Relationship Id="rId83" Type="http://schemas.openxmlformats.org/officeDocument/2006/relationships/hyperlink" Target="https://www.webpesca.it/shop/artificiale-stickbait-molix-rt-fork-flex-3-7-5-cm-mixed-color/" TargetMode="External"/><Relationship Id="rId84" Type="http://schemas.openxmlformats.org/officeDocument/2006/relationships/hyperlink" Target="https://www.webpesca.it/shop/artificiale-swimbait-molix-rt-fork-flex-4-10-cm-clear-chart/" TargetMode="External"/><Relationship Id="rId85" Type="http://schemas.openxmlformats.org/officeDocument/2006/relationships/hyperlink" Target="https://www.webpesca.it/shop/artificiale-stickbait-molix-rt-fork-flex-3-7-5-cm-mixed-color/" TargetMode="External"/><Relationship Id="rId86" Type="http://schemas.openxmlformats.org/officeDocument/2006/relationships/hyperlink" Target="https://pescapromo.it/t/shads/molix-rt-shad-4-slim-shad-10cm-5-pezzi" TargetMode="External"/><Relationship Id="rId87" Type="http://schemas.openxmlformats.org/officeDocument/2006/relationships/hyperlink" Target="https://www.webpesca.it/shop/artificiale-shad-molix-rt-shad-slim-4-10-cm-mixed-pack-1/" TargetMode="External"/><Relationship Id="rId88" Type="http://schemas.openxmlformats.org/officeDocument/2006/relationships/hyperlink" Target="https://bassstoreitaly.com/it/molix-ra-grub-6" TargetMode="External"/><Relationship Id="rId89" Type="http://schemas.openxmlformats.org/officeDocument/2006/relationships/hyperlink" Target="https://escaepescashop.it/prodotto/molix-ra-shad-2/" TargetMode="External"/><Relationship Id="rId90" Type="http://schemas.openxmlformats.org/officeDocument/2006/relationships/hyperlink" Target="https://escaepescashop.it/prodotto/molix-ra-shad-25/" TargetMode="External"/><Relationship Id="rId91" Type="http://schemas.openxmlformats.org/officeDocument/2006/relationships/hyperlink" Target="https://bassstoreitaly.com/it/molix-rod-case" TargetMode="External"/><Relationship Id="rId92" Type="http://schemas.openxmlformats.org/officeDocument/2006/relationships/hyperlink" Target="https://bassstoreitaly.com/it/molix-stick-flex" TargetMode="External"/><Relationship Id="rId93" Type="http://schemas.openxmlformats.org/officeDocument/2006/relationships/hyperlink" Target="https://pescapromo.it/t/shads/molix-sneaky-stick-4-5-11-25cm-sinking-softbait-8pcs" TargetMode="External"/><Relationship Id="rId94" Type="http://schemas.openxmlformats.org/officeDocument/2006/relationships/hyperlink" Target="https://www.webpesca.it/shop/artificiale-stickbait-molix-piper-6-5-cm-9-gr-black-gold/" TargetMode="External"/><Relationship Id="rId95" Type="http://schemas.openxmlformats.org/officeDocument/2006/relationships/hyperlink" Target="https://bassstoreitaly.com/it/molix-sc-bug" TargetMode="External"/><Relationship Id="rId96" Type="http://schemas.openxmlformats.org/officeDocument/2006/relationships/hyperlink" Target="https://pescapromo.it/t/creature-baits/molix-sc-bug-4-5-pezzi" TargetMode="External"/><Relationship Id="rId97" Type="http://schemas.openxmlformats.org/officeDocument/2006/relationships/hyperlink" Target="https://escaepescashop.it/prodotto/molix-sator-worm-4/" TargetMode="External"/><Relationship Id="rId98" Type="http://schemas.openxmlformats.org/officeDocument/2006/relationships/hyperlink" Target="https://www.webpesca.it/shop/artificiale-worm-molix-sator-worm-4-10-cm-green-red/" TargetMode="External"/><Relationship Id="rId99" Type="http://schemas.openxmlformats.org/officeDocument/2006/relationships/hyperlink" Target="https://www.webpesca.it/shop/artificiale-worm-molix-sator-worm-5-12-5-cm-green-pumpkin/" TargetMode="External"/><Relationship Id="rId100" Type="http://schemas.openxmlformats.org/officeDocument/2006/relationships/hyperlink" Target="https://bassstoreitaly.com/it/molix-sculpo-crank-dr-rattlin-" TargetMode="External"/><Relationship Id="rId101" Type="http://schemas.openxmlformats.org/officeDocument/2006/relationships/hyperlink" Target="https://pescapromo.it/t/esche-artificiali-minnow/molix-sculpo-dr-rattlin-crankbait-55cm-14g" TargetMode="External"/><Relationship Id="rId102" Type="http://schemas.openxmlformats.org/officeDocument/2006/relationships/hyperlink" Target="https://www.webpesca.it/shop/artificiale-crankbait-molix-sculpo-dr-rattlin-5-5-cm-14-gr-tennessee-shad/" TargetMode="External"/><Relationship Id="rId103" Type="http://schemas.openxmlformats.org/officeDocument/2006/relationships/hyperlink" Target="https://bassstoreitaly.com/it/molix-sight-marker" TargetMode="External"/><Relationship Id="rId104" Type="http://schemas.openxmlformats.org/officeDocument/2006/relationships/hyperlink" Target="https://bassstoreitaly.com/it/molix-sneaky-worm" TargetMode="External"/><Relationship Id="rId105" Type="http://schemas.openxmlformats.org/officeDocument/2006/relationships/hyperlink" Target="https://www.webpesca.it/shop/artificiale-worm-molix-sneaky-worm-5-13-cm-cinnamon-purple/" TargetMode="External"/><Relationship Id="rId106" Type="http://schemas.openxmlformats.org/officeDocument/2006/relationships/hyperlink" Target="https://www.webpesca.it/shop/artificiale-stickbait-molix-stick-flex-2-75-7-cm-watermelon/" TargetMode="External"/><Relationship Id="rId107" Type="http://schemas.openxmlformats.org/officeDocument/2006/relationships/hyperlink" Target="https://bassstoreitaly.com/it/molix-supernato-frog-baby-r" TargetMode="External"/><Relationship Id="rId108" Type="http://schemas.openxmlformats.org/officeDocument/2006/relationships/hyperlink" Target="https://bassstoreitaly.com/it/molix-trago-65-spyblade" TargetMode="External"/><Relationship Id="rId109" Type="http://schemas.openxmlformats.org/officeDocument/2006/relationships/hyperlink" Target="https://bassstoreitaly.com/it/molix-waterproof-elite-series" TargetMode="External"/><Relationship Id="rId110" Type="http://schemas.openxmlformats.org/officeDocument/2006/relationships/hyperlink" Target="https://www.megafish.it/valigette-e-contenitori/5871-molix-elite-waterproof-scatola-porta-accessori.html" TargetMode="External"/><Relationship Id="rId111" Type="http://schemas.openxmlformats.org/officeDocument/2006/relationships/hyperlink" Target="https://bassstoreitaly.com/it/omtd-drop-shot-hooks-oh-1200" TargetMode="External"/><Relationship Id="rId112" Type="http://schemas.openxmlformats.org/officeDocument/2006/relationships/hyperlink" Target="https://bassstoreitaly.com/it/omtd-oj1900-ned-rig-jig-head" TargetMode="External"/><Relationship Id="rId113" Type="http://schemas.openxmlformats.org/officeDocument/2006/relationships/hyperlink" Target="https://bassstoreitaly.com/it/omtd-single-lure-hook-oh1700" TargetMode="External"/><Relationship Id="rId114" Type="http://schemas.openxmlformats.org/officeDocument/2006/relationships/hyperlink" Target="https://escaepescashop.it/prodotto/omtd-oh2700-swimbait-hook/" TargetMode="External"/><Relationship Id="rId115" Type="http://schemas.openxmlformats.org/officeDocument/2006/relationships/hyperlink" Target="https://bassstoreitaly.com/it/omtd-t-swimbait-weighted-oh1500" TargetMode="External"/><Relationship Id="rId116" Type="http://schemas.openxmlformats.org/officeDocument/2006/relationships/hyperlink" Target="https://bassstoreitaly.com/it/omtd-oj-1800-swimming-wt" TargetMode="External"/><Relationship Id="rId117" Type="http://schemas.openxmlformats.org/officeDocument/2006/relationships/hyperlink" Target="https://bassstoreitaly.com/it/omtd-t-power-finesse-jighead-oj200" TargetMode="External"/><Relationship Id="rId118" Type="http://schemas.openxmlformats.org/officeDocument/2006/relationships/hyperlink" Target="https://bassstoreitaly.com/it/omtd-t-trout-jighead-oj700" TargetMode="External"/><Relationship Id="rId119" Type="http://schemas.openxmlformats.org/officeDocument/2006/relationships/hyperlink" Target="https://bassstoreitaly.com/it/omtd-big-swimbait-bladed-hook" TargetMode="External"/><Relationship Id="rId120" Type="http://schemas.openxmlformats.org/officeDocument/2006/relationships/hyperlink" Target="https://bassstoreitaly.com/it/omtd-big-swimbait-bladed-hook" TargetMode="External"/><Relationship Id="rId121" Type="http://schemas.openxmlformats.org/officeDocument/2006/relationships/hyperlink" Target="https://bassstoreitaly.com/it/panther-martin-holographic-deluxe-single-hook" TargetMode="External"/><Relationship Id="rId122" Type="http://schemas.openxmlformats.org/officeDocument/2006/relationships/hyperlink" Target="https://bassstoreitaly.com/it/panther-martin-hula-runner" TargetMode="External"/><Relationship Id="rId123" Type="http://schemas.openxmlformats.org/officeDocument/2006/relationships/hyperlink" Target="https://bassstoreitaly.com/it/panther-martin-marmorata" TargetMode="External"/><Relationship Id="rId124" Type="http://schemas.openxmlformats.org/officeDocument/2006/relationships/hyperlink" Target="https://bassstoreitaly.com/it/panther-martin-vespa-originale" TargetMode="External"/><Relationship Id="rId125" Type="http://schemas.openxmlformats.org/officeDocument/2006/relationships/hyperlink" Target="https://escaepescashop.it/prodotto/tubertini-borsa-offshore-550/" TargetMode="External"/><Relationship Id="rId126" Type="http://schemas.openxmlformats.org/officeDocument/2006/relationships/hyperlink" Target="https://www.webpesca.it/shop/borsone-tubertini-offshore-550/" TargetMode="External"/><Relationship Id="rId127" Type="http://schemas.openxmlformats.org/officeDocument/2006/relationships/hyperlink" Target="https://www.megafish.it/canne-surfcasting/7204-tubertini-ionic-2-tls.html" TargetMode="External"/><Relationship Id="rId128" Type="http://schemas.openxmlformats.org/officeDocument/2006/relationships/hyperlink" Target="https://escaepescashop.it/prodotto/canna-tubertini-ionic-2-tls/" TargetMode="External"/><Relationship Id="rId129" Type="http://schemas.openxmlformats.org/officeDocument/2006/relationships/hyperlink" Target="https://www.pescamia.eu/product-page/tubertini-ionic-2-tls-4-25-metri-100-gr-canna-surfcasting" TargetMode="External"/><Relationship Id="rId130" Type="http://schemas.openxmlformats.org/officeDocument/2006/relationships/hyperlink" Target="https://escaepescashop.it/prodotto/tubertini-sylan-2/" TargetMode="External"/><Relationship Id="rId131" Type="http://schemas.openxmlformats.org/officeDocument/2006/relationships/hyperlink" Target="https://pescapromo.it/t/mulinelli/mulinelli-da-spinning-tubertini-ryobi-hylas-fd" TargetMode="External"/><Relationship Id="rId132" Type="http://schemas.openxmlformats.org/officeDocument/2006/relationships/hyperlink" Target="https://escaepescashop.it/prodotto/tubertini-borsa-titan/" TargetMode="External"/><Relationship Id="rId133" Type="http://schemas.openxmlformats.org/officeDocument/2006/relationships/hyperlink" Target="https://www.pescamia.eu/product-page/tubertini-bos-fluorocarbon-bobina-50-mt" TargetMode="External"/><Relationship Id="rId134" Type="http://schemas.openxmlformats.org/officeDocument/2006/relationships/hyperlink" Target="https://www.webpesca.it/shop/canna-tubertini-crossover-2-2-20-mt-6-12-lbs/" TargetMode="External"/><Relationship Id="rId135" Type="http://schemas.openxmlformats.org/officeDocument/2006/relationships/hyperlink" Target="https://escaepescashop.it/prodotto/tubertini-borsa-enduro-bag/" TargetMode="External"/><Relationship Id="rId136" Type="http://schemas.openxmlformats.org/officeDocument/2006/relationships/hyperlink" Target="https://escaepescashop.it/prodotto/tubertini-express-feeder/" TargetMode="External"/><Relationship Id="rId137" Type="http://schemas.openxmlformats.org/officeDocument/2006/relationships/hyperlink" Target="https://www.webpesca.it/shop/canna-feeder-tubertini-express-feeder-2-70-mt-40-gr/" TargetMode="External"/><Relationship Id="rId138" Type="http://schemas.openxmlformats.org/officeDocument/2006/relationships/hyperlink" Target="https://escaepescashop.it/prodotto/canna-traina-tubertini-fatality/" TargetMode="External"/><Relationship Id="rId139" Type="http://schemas.openxmlformats.org/officeDocument/2006/relationships/hyperlink" Target="https://escaepescashop.it/prodotto/tubertini-fodero-cesena-150/" TargetMode="External"/><Relationship Id="rId140" Type="http://schemas.openxmlformats.org/officeDocument/2006/relationships/hyperlink" Target="https://escaepescashop.it/prodotto/tubertini-fodero-forli-1t/" TargetMode="External"/><Relationship Id="rId141" Type="http://schemas.openxmlformats.org/officeDocument/2006/relationships/hyperlink" Target="https://www.megafish.it/foderi-portacanne-pesca/6158-tubertini-fodero-jocker-1.html" TargetMode="External"/><Relationship Id="rId142" Type="http://schemas.openxmlformats.org/officeDocument/2006/relationships/hyperlink" Target="https://www.megafish.it/canne-surfcasting/6284-tubertini-kaliber-surf-420-mt.html" TargetMode="External"/><Relationship Id="rId143" Type="http://schemas.openxmlformats.org/officeDocument/2006/relationships/hyperlink" Target="https://escaepescashop.it/prodotto/tubertini-surfcasting-kaliber-surf/" TargetMode="External"/><Relationship Id="rId144" Type="http://schemas.openxmlformats.org/officeDocument/2006/relationships/hyperlink" Target="https://www.pescamia.eu/product-page/tubertini-kaliber-surf-canna-telescopica-surfcasting" TargetMode="External"/><Relationship Id="rId145" Type="http://schemas.openxmlformats.org/officeDocument/2006/relationships/hyperlink" Target="https://escaepescashop.it/prodotto/bolognese-tubertini-level-chrome/" TargetMode="External"/><Relationship Id="rId146" Type="http://schemas.openxmlformats.org/officeDocument/2006/relationships/hyperlink" Target="https://www.pescamia.eu/product-page/tubertini-level-chrome-canna-bolognese" TargetMode="External"/><Relationship Id="rId147" Type="http://schemas.openxmlformats.org/officeDocument/2006/relationships/hyperlink" Target="https://www.megafish.it/valigette-e-contenitori/2957-tubertini-maggi-box-2-lt.html" TargetMode="External"/><Relationship Id="rId148" Type="http://schemas.openxmlformats.org/officeDocument/2006/relationships/hyperlink" Target="https://www.pescamia.eu/product-page/tubertini-mulinelli-artis-usati" TargetMode="External"/><Relationship Id="rId149" Type="http://schemas.openxmlformats.org/officeDocument/2006/relationships/hyperlink" Target="https://escaepescashop.it/prodotto/bolognese-tubertini-level-chrome/" TargetMode="External"/><Relationship Id="rId150" Type="http://schemas.openxmlformats.org/officeDocument/2006/relationships/hyperlink" Target="https://www.pescamia.eu/product-page/tubertini-level-chrome-canna-bolognese" TargetMode="External"/><Relationship Id="rId151" Type="http://schemas.openxmlformats.org/officeDocument/2006/relationships/hyperlink" Target="https://www.megafish.it/mulinelli-pesca-frizione-anteriore/6807-mulinello-tubertini-dark.html" TargetMode="External"/><Relationship Id="rId152" Type="http://schemas.openxmlformats.org/officeDocument/2006/relationships/hyperlink" Target="https://escaepescashop.it/prodotto/tubertini-dark/" TargetMode="External"/><Relationship Id="rId153" Type="http://schemas.openxmlformats.org/officeDocument/2006/relationships/hyperlink" Target="https://www.pescamia.eu/product-page/tubertini-dark-bc-canna-spinning" TargetMode="External"/><Relationship Id="rId154" Type="http://schemas.openxmlformats.org/officeDocument/2006/relationships/hyperlink" Target="https://www.pescamia.eu/product-page/tubertini-mulinello-wasp" TargetMode="External"/><Relationship Id="rId155" Type="http://schemas.openxmlformats.org/officeDocument/2006/relationships/hyperlink" Target="https://escaepescashop.it/prodotto/mulinello-tubertini-xide/" TargetMode="External"/><Relationship Id="rId156" Type="http://schemas.openxmlformats.org/officeDocument/2006/relationships/hyperlink" Target="https://www.megafish.it/nylon-da-pesca/6948-tubertini-noway-50-mt.html" TargetMode="External"/><Relationship Id="rId157" Type="http://schemas.openxmlformats.org/officeDocument/2006/relationships/hyperlink" Target="https://www.megafish.it/borse-e-zaini/6956-tubertini-astuccio-offshore-h-bag.html" TargetMode="External"/><Relationship Id="rId158" Type="http://schemas.openxmlformats.org/officeDocument/2006/relationships/hyperlink" Target="https://escaepescashop.it/prodotto/tubertini-offshore-h-bag/" TargetMode="External"/><Relationship Id="rId159" Type="http://schemas.openxmlformats.org/officeDocument/2006/relationships/hyperlink" Target="https://escaepescashop.it/prodotto/tubertini-pencil-feeder/" TargetMode="External"/><Relationship Id="rId160" Type="http://schemas.openxmlformats.org/officeDocument/2006/relationships/hyperlink" Target="https://escaepescashop.it/prodotto/canna-tubertini-performer-xs-2/" TargetMode="External"/><Relationship Id="rId161" Type="http://schemas.openxmlformats.org/officeDocument/2006/relationships/hyperlink" Target="https://www.pescamia.eu/product-page/tubertini-performer-xs-canna-beach-ledgering" TargetMode="External"/><Relationship Id="rId162" Type="http://schemas.openxmlformats.org/officeDocument/2006/relationships/hyperlink" Target="https://www.megafish.it/trainabig-game/6286-tubertini-sea-master.html" TargetMode="External"/><Relationship Id="rId163" Type="http://schemas.openxmlformats.org/officeDocument/2006/relationships/hyperlink" Target="https://escaepescashop.it/prodotto/tubertini-sea-master/" TargetMode="External"/><Relationship Id="rId164" Type="http://schemas.openxmlformats.org/officeDocument/2006/relationships/hyperlink" Target="https://www.pescamia.eu/product-page/tubertini-sea-master-canna-traina-costiera" TargetMode="External"/><Relationship Id="rId165" Type="http://schemas.openxmlformats.org/officeDocument/2006/relationships/hyperlink" Target="https://escaepescashop.it/prodotto/tubertini-testa-guadino-impact/" TargetMode="External"/><Relationship Id="rId166" Type="http://schemas.openxmlformats.org/officeDocument/2006/relationships/hyperlink" Target="https://www.pescamia.eu/product-page/tubertini-mulinello-vertigo-black" TargetMode="External"/><Relationship Id="rId16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bassstoreitaly.com/it/shimano-twin-power-fe-spinning" TargetMode="External"/><Relationship Id="rId2" Type="http://schemas.openxmlformats.org/officeDocument/2006/relationships/hyperlink" Target="https://www.megafish.it/mulinelli-pesca-frizione-anteriore/7271-shimano-24-twin-power-fe.html" TargetMode="External"/><Relationship Id="rId3" Type="http://schemas.openxmlformats.org/officeDocument/2006/relationships/hyperlink" Target="https://pescapromo.it/t/mulinelli/mulinello-shimano-twin-power" TargetMode="External"/><Relationship Id="rId4" Type="http://schemas.openxmlformats.org/officeDocument/2006/relationships/hyperlink" Target="https://bassstoreitaly.com/it/shimano-calcutta-conquest-md-301-casting" TargetMode="External"/><Relationship Id="rId5" Type="http://schemas.openxmlformats.org/officeDocument/2006/relationships/hyperlink" Target="https://www.webpesca.it/shop/mulinello-shimano-calcutta-conquest-md-left-hand/" TargetMode="External"/><Relationship Id="rId6" Type="http://schemas.openxmlformats.org/officeDocument/2006/relationships/hyperlink" Target="https://bassstoreitaly.com/it/shimano-curado-m-151-casting" TargetMode="External"/><Relationship Id="rId7" Type="http://schemas.openxmlformats.org/officeDocument/2006/relationships/hyperlink" Target="https://pescapromo.it/t/mulinelli-rotante/shimano-curado" TargetMode="External"/><Relationship Id="rId8" Type="http://schemas.openxmlformats.org/officeDocument/2006/relationships/hyperlink" Target="https://bassstoreitaly.com/it/shimano-slx-bfs-casting" TargetMode="External"/><Relationship Id="rId9" Type="http://schemas.openxmlformats.org/officeDocument/2006/relationships/hyperlink" Target="https://www.webpesca.it/shop/mulinello-shimano-slx-bfs-xg-left-hand/" TargetMode="External"/><Relationship Id="rId10" Type="http://schemas.openxmlformats.org/officeDocument/2006/relationships/hyperlink" Target="https://bassstoreitaly.com/it/shimano-cardiff-a" TargetMode="External"/><Relationship Id="rId11" Type="http://schemas.openxmlformats.org/officeDocument/2006/relationships/hyperlink" Target="https://pescapromo.it/t/mulinelli-rotante/shimano-cardiff" TargetMode="External"/><Relationship Id="rId12" Type="http://schemas.openxmlformats.org/officeDocument/2006/relationships/hyperlink" Target="https://bassstoreitaly.com/it/shimano-aero-xr" TargetMode="External"/><Relationship Id="rId13" Type="http://schemas.openxmlformats.org/officeDocument/2006/relationships/hyperlink" Target="https://www.dimensionepesca.com/it/ricerca?controller=search&amp;s=aero+xr" TargetMode="External"/><Relationship Id="rId14" Type="http://schemas.openxmlformats.org/officeDocument/2006/relationships/hyperlink" Target="https://www.fishingitalia.com/prodotto/mulinelli/mulinello-bolognese-match/mulinello-aero-xr-4000-shimano/" TargetMode="External"/><Relationship Id="rId15" Type="http://schemas.openxmlformats.org/officeDocument/2006/relationships/hyperlink" Target="https://pescapromo.it/t/mulinelli/mulinello-per-coregoni-shimano-aero-xr" TargetMode="External"/><Relationship Id="rId16" Type="http://schemas.openxmlformats.org/officeDocument/2006/relationships/hyperlink" Target="https://www.megafish.it/mulinelli-pesca-frizione-anteriore/6847-shimano-reel-aero-xr.html" TargetMode="External"/><Relationship Id="rId17" Type="http://schemas.openxmlformats.org/officeDocument/2006/relationships/hyperlink" Target="https://pescapromo.it/t/canne-da-spinning/canna-da-spinning-shimano-poison-adrena-2024" TargetMode="External"/><Relationship Id="rId18" Type="http://schemas.openxmlformats.org/officeDocument/2006/relationships/hyperlink" Target="https://bassstoreitaly.com/it/jackall-bros-poison-adrena-spinning" TargetMode="External"/><Relationship Id="rId19" Type="http://schemas.openxmlformats.org/officeDocument/2006/relationships/hyperlink" Target="https://pescapromo.it/t/canne-da-pesca-per-pesce-gatto/canna-per-pesce-gatto-shimano-beastmaster-catfish-lure" TargetMode="External"/><Relationship Id="rId20" Type="http://schemas.openxmlformats.org/officeDocument/2006/relationships/hyperlink" Target="https://bassstoreitaly.com/it/molix-fioretto-speciale-spinning" TargetMode="External"/><Relationship Id="rId21" Type="http://schemas.openxmlformats.org/officeDocument/2006/relationships/hyperlink" Target="https://www.webpesca.it/shop/canna-spinning-molix-fioretto-special-mfs-sw-80s/" TargetMode="External"/><Relationship Id="rId22" Type="http://schemas.openxmlformats.org/officeDocument/2006/relationships/hyperlink" Target="https://bassstoreitaly.com/it/favorite-alligator-travel-casting" TargetMode="External"/><Relationship Id="rId23" Type="http://schemas.openxmlformats.org/officeDocument/2006/relationships/hyperlink" Target="https://bassstoreitaly.com/en/smith-ltd-koz-expedition" TargetMode="External"/><Relationship Id="rId24" Type="http://schemas.openxmlformats.org/officeDocument/2006/relationships/hyperlink" Target="https://bassstoreitaly.com/it/molix-finder-jerk-evo-90" TargetMode="External"/><Relationship Id="rId25" Type="http://schemas.openxmlformats.org/officeDocument/2006/relationships/hyperlink" Target="https://pescapromo.it/t/esche-artificiali/molix-finder-jerk-evo-110-sp-suspending-crankbait-11cm-95g" TargetMode="External"/><Relationship Id="rId26" Type="http://schemas.openxmlformats.org/officeDocument/2006/relationships/hyperlink" Target="https://bassstoreitaly.com/it/molix-craw-flex" TargetMode="External"/><Relationship Id="rId27" Type="http://schemas.openxmlformats.org/officeDocument/2006/relationships/hyperlink" Target="https://www.webpesca.it/shop/artificiale-craw-molix-flex-3-7-5-cm-green-pumpkin/" TargetMode="External"/><Relationship Id="rId28" Type="http://schemas.openxmlformats.org/officeDocument/2006/relationships/hyperlink" Target="https://escaepescashop.it/prodotto/molix-elite-area-spoon/" TargetMode="External"/><Relationship Id="rId29" Type="http://schemas.openxmlformats.org/officeDocument/2006/relationships/hyperlink" Target="https://escaepescashop.it/prodotto/keitech-swing-impact-3/" TargetMode="External"/><Relationship Id="rId30" Type="http://schemas.openxmlformats.org/officeDocument/2006/relationships/hyperlink" Target="https://bassstoreitaly.com/it/keitech-swing-impact" TargetMode="External"/><Relationship Id="rId31" Type="http://schemas.openxmlformats.org/officeDocument/2006/relationships/hyperlink" Target="https://www.webpesca.it/shop/artifiiciale-shad-keitech-swing-impact-4-10-cm-green-pumpkin/" TargetMode="External"/><Relationship Id="rId32" Type="http://schemas.openxmlformats.org/officeDocument/2006/relationships/hyperlink" Target="https://bassstoreitaly.com/it/gary-yamamoto-senko" TargetMode="External"/><Relationship Id="rId33" Type="http://schemas.openxmlformats.org/officeDocument/2006/relationships/hyperlink" Target="https://www.webpesca.it/shop/artificiale-stickbait-gary-yamamoto-senko-4-light-green-red-flake/" TargetMode="External"/><Relationship Id="rId34" Type="http://schemas.openxmlformats.org/officeDocument/2006/relationships/hyperlink" Target="https://bassstoreitaly.com/it/lucky-craft-lc-25-shallow-crank" TargetMode="External"/><Relationship Id="rId35" Type="http://schemas.openxmlformats.org/officeDocument/2006/relationships/hyperlink" Target="https://bassstoreitaly.com/it/livetarget-ict-freestyle-frog-2" TargetMode="External"/><Relationship Id="rId36" Type="http://schemas.openxmlformats.org/officeDocument/2006/relationships/hyperlink" Target="https://bassstoreitaly.com/it/panther-martin-vespa-originale" TargetMode="External"/><Relationship Id="rId37" Type="http://schemas.openxmlformats.org/officeDocument/2006/relationships/hyperlink" Target="https://escaepescashop.it/prodotto/shimano-yasei-trigger-twitch-60sp/" TargetMode="External"/><Relationship Id="rId38" Type="http://schemas.openxmlformats.org/officeDocument/2006/relationships/hyperlink" Target="https://www.webpesca.it/shop/artificiale-jerkbait-shimano-yasei-trigger-twitch-s-90-mm-13-gr/" TargetMode="External"/><Relationship Id="rId39" Type="http://schemas.openxmlformats.org/officeDocument/2006/relationships/hyperlink" Target="https://www.webpesca.it/shop/trecciato-tubertini-viral-8x-300-mt/" TargetMode="External"/><Relationship Id="rId40" Type="http://schemas.openxmlformats.org/officeDocument/2006/relationships/hyperlink" Target="https://www.dimensionepesca.com/it/ricerca?controller=search&amp;s=ryujin" TargetMode="External"/><Relationship Id="rId41" Type="http://schemas.openxmlformats.org/officeDocument/2006/relationships/hyperlink" Target="https://www.megafish.it/" TargetMode="External"/><Relationship Id="rId42" Type="http://schemas.openxmlformats.org/officeDocument/2006/relationships/hyperlink" Target="https://pescapromo.it/t/trecciato/momoi-pe-ryujin" TargetMode="External"/><Relationship Id="rId43" Type="http://schemas.openxmlformats.org/officeDocument/2006/relationships/hyperlink" Target="https://bassstoreitaly.com/it/bkk-siren-worm-hook" TargetMode="External"/><Relationship Id="rId44" Type="http://schemas.openxmlformats.org/officeDocument/2006/relationships/hyperlink" Target="https://pescapromo.it/t/ami/ami-bkk-siren-worm-taglia-2-0-6-pezzi" TargetMode="External"/><Relationship Id="rId45" Type="http://schemas.openxmlformats.org/officeDocument/2006/relationships/hyperlink" Target="https://bassstoreitaly.com/it/meiho-slit-form-case-3020ns" TargetMode="External"/><Relationship Id="rId46" Type="http://schemas.openxmlformats.org/officeDocument/2006/relationships/hyperlink" Target="https://www.webpesca.it/shop/scatola-meiho-slit-form-3020ns-foam/" TargetMode="External"/><Relationship Id="rId47" Type="http://schemas.openxmlformats.org/officeDocument/2006/relationships/hyperlink" Target="https://bassstoreitaly.com/it/meiho-versus-vs-3080-tackle-box" TargetMode="External"/><Relationship Id="rId48" Type="http://schemas.openxmlformats.org/officeDocument/2006/relationships/hyperlink" Target="https://www.webpesca.it/shop/scatola-meiho-versus-vs-3080-black/" TargetMode="External"/><Relationship Id="rId49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1177</v>
      </c>
    </row>
    <row r="6" customFormat="false" ht="15" hidden="false" customHeight="false" outlineLevel="0" collapsed="false">
      <c r="B6" s="3" t="s">
        <v>3</v>
      </c>
      <c r="C6" s="4" t="n">
        <v>572</v>
      </c>
    </row>
    <row r="7" customFormat="false" ht="15" hidden="false" customHeight="false" outlineLevel="0" collapsed="false">
      <c r="B7" s="3" t="s">
        <v>4</v>
      </c>
      <c r="C7" s="4" t="n">
        <v>117</v>
      </c>
    </row>
    <row r="8" customFormat="false" ht="15" hidden="false" customHeight="false" outlineLevel="0" collapsed="false">
      <c r="B8" s="3" t="s">
        <v>5</v>
      </c>
      <c r="C8" s="4" t="n">
        <f aca="false">COUNTA('Dettaglio confronti'!A2:A167)</f>
        <v>166</v>
      </c>
    </row>
    <row r="9" customFormat="false" ht="15" hidden="false" customHeight="false" outlineLevel="0" collapsed="false">
      <c r="B9" s="3" t="s">
        <v>6</v>
      </c>
      <c r="C9" s="5" t="n">
        <v>0.09</v>
      </c>
    </row>
    <row r="10" customFormat="false" ht="15" hidden="false" customHeight="false" outlineLevel="0" collapsed="false">
      <c r="B10" s="3" t="s">
        <v>7</v>
      </c>
      <c r="C10" s="4" t="n">
        <v>77</v>
      </c>
    </row>
    <row r="11" customFormat="false" ht="15" hidden="false" customHeight="false" outlineLevel="0" collapsed="false">
      <c r="B11" s="3" t="s">
        <v>8</v>
      </c>
      <c r="C11" s="4" t="n">
        <v>18</v>
      </c>
    </row>
    <row r="12" customFormat="false" ht="15" hidden="false" customHeight="false" outlineLevel="0" collapsed="false">
      <c r="B12" s="3" t="s">
        <v>9</v>
      </c>
      <c r="C12" s="4" t="n">
        <v>22</v>
      </c>
    </row>
    <row r="13" customFormat="false" ht="15" hidden="false" customHeight="false" outlineLevel="0" collapsed="false">
      <c r="B13" s="6" t="s">
        <v>10</v>
      </c>
    </row>
    <row r="15" customFormat="false" ht="15" hidden="false" customHeight="false" outlineLevel="0" collapsed="false">
      <c r="B15" s="7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2" customFormat="false" ht="15" hidden="false" customHeight="false" outlineLevel="0" collapsed="false">
      <c r="B22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1"/>
  </cols>
  <sheetData>
    <row r="1" customFormat="false" ht="25.5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</row>
    <row r="2" customFormat="false" ht="15" hidden="false" customHeight="false" outlineLevel="0" collapsed="false">
      <c r="A2" s="9" t="s">
        <v>30</v>
      </c>
      <c r="B2" s="9" t="s">
        <v>31</v>
      </c>
      <c r="C2" s="9" t="s">
        <v>32</v>
      </c>
      <c r="D2" s="9" t="s">
        <v>33</v>
      </c>
      <c r="E2" s="10" t="n">
        <v>10.5</v>
      </c>
      <c r="F2" s="9" t="s">
        <v>34</v>
      </c>
      <c r="G2" s="9" t="s">
        <v>35</v>
      </c>
      <c r="H2" s="10" t="n">
        <v>9.1</v>
      </c>
      <c r="I2" s="9" t="s">
        <v>36</v>
      </c>
      <c r="J2" s="11" t="n">
        <f aca="false">(E2-H2)/H2</f>
        <v>0.153846153846154</v>
      </c>
      <c r="K2" s="12" t="s">
        <v>37</v>
      </c>
      <c r="L2" s="9" t="s">
        <v>38</v>
      </c>
    </row>
    <row r="3" customFormat="false" ht="15" hidden="false" customHeight="fals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10" t="n">
        <v>10.5</v>
      </c>
      <c r="F3" s="9" t="s">
        <v>39</v>
      </c>
      <c r="G3" s="9" t="s">
        <v>35</v>
      </c>
      <c r="H3" s="10" t="n">
        <v>7.95</v>
      </c>
      <c r="I3" s="9" t="s">
        <v>40</v>
      </c>
      <c r="J3" s="11" t="n">
        <f aca="false">(E3-H3)/H3</f>
        <v>0.320754716981132</v>
      </c>
      <c r="K3" s="12" t="s">
        <v>37</v>
      </c>
      <c r="L3" s="9" t="s">
        <v>38</v>
      </c>
    </row>
    <row r="4" customFormat="false" ht="15" hidden="false" customHeight="false" outlineLevel="0" collapsed="false">
      <c r="A4" s="9" t="s">
        <v>41</v>
      </c>
      <c r="B4" s="9" t="s">
        <v>42</v>
      </c>
      <c r="C4" s="9" t="s">
        <v>32</v>
      </c>
      <c r="D4" s="9" t="s">
        <v>43</v>
      </c>
      <c r="E4" s="10" t="n">
        <v>8.9</v>
      </c>
      <c r="F4" s="9" t="s">
        <v>39</v>
      </c>
      <c r="G4" s="9" t="s">
        <v>44</v>
      </c>
      <c r="H4" s="10" t="n">
        <v>8.95</v>
      </c>
      <c r="I4" s="9" t="s">
        <v>36</v>
      </c>
      <c r="J4" s="11" t="n">
        <f aca="false">(E4-H4)/H4</f>
        <v>-0.00558659217877083</v>
      </c>
      <c r="K4" s="12" t="s">
        <v>37</v>
      </c>
      <c r="L4" s="9" t="s">
        <v>38</v>
      </c>
    </row>
    <row r="5" customFormat="false" ht="15" hidden="false" customHeight="false" outlineLevel="0" collapsed="false">
      <c r="A5" s="9" t="s">
        <v>45</v>
      </c>
      <c r="B5" s="9" t="s">
        <v>46</v>
      </c>
      <c r="C5" s="9" t="s">
        <v>32</v>
      </c>
      <c r="D5" s="9" t="s">
        <v>43</v>
      </c>
      <c r="E5" s="10" t="n">
        <v>9.9</v>
      </c>
      <c r="F5" s="9" t="s">
        <v>39</v>
      </c>
      <c r="G5" s="9" t="s">
        <v>35</v>
      </c>
      <c r="H5" s="10" t="n">
        <v>9.95</v>
      </c>
      <c r="I5" s="9" t="s">
        <v>40</v>
      </c>
      <c r="J5" s="11" t="n">
        <f aca="false">(E5-H5)/H5</f>
        <v>-0.0050251256281406</v>
      </c>
      <c r="K5" s="12" t="s">
        <v>37</v>
      </c>
      <c r="L5" s="9" t="s">
        <v>38</v>
      </c>
    </row>
    <row r="6" customFormat="false" ht="15" hidden="false" customHeight="false" outlineLevel="0" collapsed="false">
      <c r="A6" s="9" t="s">
        <v>47</v>
      </c>
      <c r="B6" s="9" t="s">
        <v>48</v>
      </c>
      <c r="C6" s="9" t="s">
        <v>32</v>
      </c>
      <c r="D6" s="9" t="s">
        <v>43</v>
      </c>
      <c r="E6" s="10" t="n">
        <v>5.5</v>
      </c>
      <c r="F6" s="9" t="s">
        <v>34</v>
      </c>
      <c r="G6" s="9" t="s">
        <v>35</v>
      </c>
      <c r="H6" s="10" t="n">
        <v>5.2</v>
      </c>
      <c r="I6" s="9" t="s">
        <v>40</v>
      </c>
      <c r="J6" s="11" t="n">
        <f aca="false">(E6-H6)/H6</f>
        <v>0.0576923076923077</v>
      </c>
      <c r="K6" s="12" t="s">
        <v>37</v>
      </c>
      <c r="L6" s="9" t="s">
        <v>38</v>
      </c>
    </row>
    <row r="7" customFormat="false" ht="15" hidden="false" customHeight="false" outlineLevel="0" collapsed="false">
      <c r="A7" s="9" t="s">
        <v>47</v>
      </c>
      <c r="B7" s="9" t="s">
        <v>48</v>
      </c>
      <c r="C7" s="9" t="s">
        <v>32</v>
      </c>
      <c r="D7" s="9" t="s">
        <v>43</v>
      </c>
      <c r="E7" s="10" t="n">
        <v>5.5</v>
      </c>
      <c r="F7" s="9" t="s">
        <v>39</v>
      </c>
      <c r="G7" s="9" t="s">
        <v>35</v>
      </c>
      <c r="H7" s="10" t="n">
        <v>3.49</v>
      </c>
      <c r="I7" s="9" t="s">
        <v>36</v>
      </c>
      <c r="J7" s="11" t="n">
        <f aca="false">(E7-H7)/H7</f>
        <v>0.57593123209169</v>
      </c>
      <c r="K7" s="12" t="s">
        <v>37</v>
      </c>
      <c r="L7" s="9" t="s">
        <v>38</v>
      </c>
    </row>
    <row r="8" customFormat="false" ht="15" hidden="false" customHeight="false" outlineLevel="0" collapsed="false">
      <c r="A8" s="9" t="s">
        <v>49</v>
      </c>
      <c r="B8" s="9" t="s">
        <v>50</v>
      </c>
      <c r="C8" s="9" t="s">
        <v>32</v>
      </c>
      <c r="D8" s="9" t="s">
        <v>51</v>
      </c>
      <c r="E8" s="10" t="n">
        <v>5.99</v>
      </c>
      <c r="F8" s="9" t="s">
        <v>34</v>
      </c>
      <c r="G8" s="9" t="s">
        <v>44</v>
      </c>
      <c r="H8" s="10" t="n">
        <v>5.99</v>
      </c>
      <c r="I8" s="9" t="s">
        <v>36</v>
      </c>
      <c r="J8" s="11" t="n">
        <f aca="false">(E8-H8)/H8</f>
        <v>0</v>
      </c>
      <c r="K8" s="12" t="s">
        <v>37</v>
      </c>
      <c r="L8" s="9" t="s">
        <v>38</v>
      </c>
    </row>
    <row r="9" customFormat="false" ht="15" hidden="false" customHeight="false" outlineLevel="0" collapsed="false">
      <c r="A9" s="9" t="s">
        <v>49</v>
      </c>
      <c r="B9" s="9" t="s">
        <v>50</v>
      </c>
      <c r="C9" s="9" t="s">
        <v>32</v>
      </c>
      <c r="D9" s="9" t="s">
        <v>51</v>
      </c>
      <c r="E9" s="10" t="n">
        <v>5.99</v>
      </c>
      <c r="F9" s="9" t="s">
        <v>39</v>
      </c>
      <c r="G9" s="9" t="s">
        <v>44</v>
      </c>
      <c r="H9" s="10" t="n">
        <v>5.95</v>
      </c>
      <c r="I9" s="9" t="s">
        <v>36</v>
      </c>
      <c r="J9" s="11" t="n">
        <f aca="false">(E9-H9)/H9</f>
        <v>0.00672268907563026</v>
      </c>
      <c r="K9" s="12" t="s">
        <v>37</v>
      </c>
      <c r="L9" s="9" t="s">
        <v>38</v>
      </c>
    </row>
    <row r="10" customFormat="false" ht="15" hidden="false" customHeight="false" outlineLevel="0" collapsed="false">
      <c r="A10" s="9" t="s">
        <v>52</v>
      </c>
      <c r="B10" s="9" t="s">
        <v>53</v>
      </c>
      <c r="C10" s="9" t="s">
        <v>32</v>
      </c>
      <c r="D10" s="9" t="s">
        <v>33</v>
      </c>
      <c r="E10" s="10" t="n">
        <v>6.5</v>
      </c>
      <c r="F10" s="9" t="s">
        <v>39</v>
      </c>
      <c r="G10" s="9" t="s">
        <v>35</v>
      </c>
      <c r="H10" s="10" t="n">
        <v>6.75</v>
      </c>
      <c r="I10" s="9" t="s">
        <v>40</v>
      </c>
      <c r="J10" s="11" t="n">
        <f aca="false">(E10-H10)/H10</f>
        <v>-0.037037037037037</v>
      </c>
      <c r="K10" s="12" t="s">
        <v>37</v>
      </c>
      <c r="L10" s="9" t="s">
        <v>38</v>
      </c>
    </row>
    <row r="11" customFormat="false" ht="15" hidden="false" customHeight="false" outlineLevel="0" collapsed="false">
      <c r="A11" s="9" t="s">
        <v>54</v>
      </c>
      <c r="B11" s="9" t="s">
        <v>55</v>
      </c>
      <c r="C11" s="9" t="s">
        <v>32</v>
      </c>
      <c r="D11" s="9" t="s">
        <v>43</v>
      </c>
      <c r="E11" s="10" t="n">
        <v>275</v>
      </c>
      <c r="F11" s="9" t="s">
        <v>34</v>
      </c>
      <c r="G11" s="9" t="s">
        <v>35</v>
      </c>
      <c r="H11" s="10" t="n">
        <v>239.99</v>
      </c>
      <c r="I11" s="9" t="s">
        <v>36</v>
      </c>
      <c r="J11" s="11" t="n">
        <f aca="false">(E11-H11)/H11</f>
        <v>0.145881078378266</v>
      </c>
      <c r="K11" s="12" t="s">
        <v>37</v>
      </c>
      <c r="L11" s="9" t="s">
        <v>38</v>
      </c>
    </row>
    <row r="12" customFormat="false" ht="15" hidden="false" customHeight="false" outlineLevel="0" collapsed="false">
      <c r="A12" s="9" t="s">
        <v>54</v>
      </c>
      <c r="B12" s="9" t="s">
        <v>55</v>
      </c>
      <c r="C12" s="9" t="s">
        <v>32</v>
      </c>
      <c r="D12" s="9" t="s">
        <v>43</v>
      </c>
      <c r="E12" s="10" t="n">
        <v>275</v>
      </c>
      <c r="F12" s="9" t="s">
        <v>39</v>
      </c>
      <c r="G12" s="9" t="s">
        <v>35</v>
      </c>
      <c r="H12" s="10" t="n">
        <v>274.95</v>
      </c>
      <c r="I12" s="9" t="s">
        <v>36</v>
      </c>
      <c r="J12" s="11" t="n">
        <f aca="false">(E12-H12)/H12</f>
        <v>0.000181851245681074</v>
      </c>
      <c r="K12" s="12" t="s">
        <v>37</v>
      </c>
      <c r="L12" s="9" t="s">
        <v>38</v>
      </c>
    </row>
    <row r="13" customFormat="false" ht="15" hidden="false" customHeight="false" outlineLevel="0" collapsed="false">
      <c r="A13" s="9" t="s">
        <v>56</v>
      </c>
      <c r="B13" s="9" t="s">
        <v>57</v>
      </c>
      <c r="C13" s="9" t="s">
        <v>32</v>
      </c>
      <c r="D13" s="9" t="s">
        <v>43</v>
      </c>
      <c r="E13" s="10" t="n">
        <v>4.5</v>
      </c>
      <c r="F13" s="9" t="s">
        <v>34</v>
      </c>
      <c r="G13" s="9" t="s">
        <v>35</v>
      </c>
      <c r="H13" s="10" t="n">
        <v>4.4</v>
      </c>
      <c r="I13" s="9" t="s">
        <v>36</v>
      </c>
      <c r="J13" s="11" t="n">
        <f aca="false">(E13-H13)/H13</f>
        <v>0.0227272727272726</v>
      </c>
      <c r="K13" s="12" t="s">
        <v>37</v>
      </c>
      <c r="L13" s="9" t="s">
        <v>38</v>
      </c>
    </row>
    <row r="14" customFormat="false" ht="15" hidden="false" customHeight="false" outlineLevel="0" collapsed="false">
      <c r="A14" s="9" t="s">
        <v>56</v>
      </c>
      <c r="B14" s="9" t="s">
        <v>57</v>
      </c>
      <c r="C14" s="9" t="s">
        <v>32</v>
      </c>
      <c r="D14" s="9" t="s">
        <v>43</v>
      </c>
      <c r="E14" s="10" t="n">
        <v>4.5</v>
      </c>
      <c r="F14" s="9" t="s">
        <v>39</v>
      </c>
      <c r="G14" s="9" t="s">
        <v>35</v>
      </c>
      <c r="H14" s="10" t="n">
        <v>8.95</v>
      </c>
      <c r="I14" s="9" t="s">
        <v>36</v>
      </c>
      <c r="J14" s="11" t="n">
        <f aca="false">(E14-H14)/H14</f>
        <v>-0.497206703910615</v>
      </c>
      <c r="K14" s="12" t="s">
        <v>37</v>
      </c>
      <c r="L14" s="9" t="s">
        <v>38</v>
      </c>
    </row>
    <row r="15" customFormat="false" ht="15" hidden="false" customHeight="false" outlineLevel="0" collapsed="false">
      <c r="A15" s="9" t="s">
        <v>58</v>
      </c>
      <c r="B15" s="9" t="s">
        <v>59</v>
      </c>
      <c r="C15" s="9" t="s">
        <v>32</v>
      </c>
      <c r="D15" s="9" t="s">
        <v>43</v>
      </c>
      <c r="E15" s="10" t="n">
        <v>4.5</v>
      </c>
      <c r="F15" s="9" t="s">
        <v>34</v>
      </c>
      <c r="G15" s="9" t="s">
        <v>35</v>
      </c>
      <c r="H15" s="10" t="n">
        <v>4.29</v>
      </c>
      <c r="I15" s="9" t="s">
        <v>40</v>
      </c>
      <c r="J15" s="11" t="n">
        <f aca="false">(E15-H15)/H15</f>
        <v>0.0489510489510489</v>
      </c>
      <c r="K15" s="12" t="s">
        <v>37</v>
      </c>
      <c r="L15" s="9" t="s">
        <v>38</v>
      </c>
    </row>
    <row r="16" customFormat="false" ht="15" hidden="false" customHeight="false" outlineLevel="0" collapsed="false">
      <c r="A16" s="9" t="s">
        <v>60</v>
      </c>
      <c r="B16" s="9" t="s">
        <v>61</v>
      </c>
      <c r="C16" s="9" t="s">
        <v>32</v>
      </c>
      <c r="D16" s="9" t="s">
        <v>43</v>
      </c>
      <c r="E16" s="10" t="n">
        <v>5.5</v>
      </c>
      <c r="F16" s="9" t="s">
        <v>34</v>
      </c>
      <c r="G16" s="9" t="s">
        <v>35</v>
      </c>
      <c r="H16" s="10" t="n">
        <v>6.49</v>
      </c>
      <c r="I16" s="9" t="s">
        <v>36</v>
      </c>
      <c r="J16" s="11" t="n">
        <f aca="false">(E16-H16)/H16</f>
        <v>-0.152542372881356</v>
      </c>
      <c r="K16" s="12" t="s">
        <v>37</v>
      </c>
      <c r="L16" s="9" t="s">
        <v>38</v>
      </c>
    </row>
    <row r="17" customFormat="false" ht="15" hidden="false" customHeight="false" outlineLevel="0" collapsed="false">
      <c r="A17" s="9" t="s">
        <v>62</v>
      </c>
      <c r="B17" s="9" t="s">
        <v>63</v>
      </c>
      <c r="C17" s="9" t="s">
        <v>32</v>
      </c>
      <c r="D17" s="9" t="s">
        <v>43</v>
      </c>
      <c r="E17" s="10" t="n">
        <v>6.49</v>
      </c>
      <c r="F17" s="9" t="s">
        <v>34</v>
      </c>
      <c r="G17" s="9" t="s">
        <v>35</v>
      </c>
      <c r="H17" s="10" t="n">
        <v>6.49</v>
      </c>
      <c r="I17" s="9" t="s">
        <v>36</v>
      </c>
      <c r="J17" s="11" t="n">
        <f aca="false">(E17-H17)/H17</f>
        <v>0</v>
      </c>
      <c r="K17" s="12" t="s">
        <v>37</v>
      </c>
      <c r="L17" s="9" t="s">
        <v>38</v>
      </c>
    </row>
    <row r="18" customFormat="false" ht="15" hidden="false" customHeight="false" outlineLevel="0" collapsed="false">
      <c r="A18" s="9" t="s">
        <v>64</v>
      </c>
      <c r="B18" s="9" t="s">
        <v>65</v>
      </c>
      <c r="C18" s="9" t="s">
        <v>32</v>
      </c>
      <c r="D18" s="9" t="s">
        <v>33</v>
      </c>
      <c r="E18" s="10" t="n">
        <v>3.5</v>
      </c>
      <c r="F18" s="9" t="s">
        <v>34</v>
      </c>
      <c r="G18" s="9" t="s">
        <v>44</v>
      </c>
      <c r="H18" s="10" t="n">
        <v>4.1</v>
      </c>
      <c r="I18" s="9" t="s">
        <v>36</v>
      </c>
      <c r="J18" s="11" t="n">
        <f aca="false">(E18-H18)/H18</f>
        <v>-0.146341463414634</v>
      </c>
      <c r="K18" s="12" t="s">
        <v>37</v>
      </c>
      <c r="L18" s="9" t="s">
        <v>38</v>
      </c>
    </row>
    <row r="19" customFormat="false" ht="15" hidden="false" customHeight="false" outlineLevel="0" collapsed="false">
      <c r="A19" s="9" t="s">
        <v>64</v>
      </c>
      <c r="B19" s="9" t="s">
        <v>65</v>
      </c>
      <c r="C19" s="9" t="s">
        <v>32</v>
      </c>
      <c r="D19" s="9" t="s">
        <v>33</v>
      </c>
      <c r="E19" s="10" t="n">
        <v>3.5</v>
      </c>
      <c r="F19" s="9" t="s">
        <v>39</v>
      </c>
      <c r="G19" s="9" t="s">
        <v>44</v>
      </c>
      <c r="H19" s="10" t="n">
        <v>2.6</v>
      </c>
      <c r="I19" s="9" t="s">
        <v>36</v>
      </c>
      <c r="J19" s="11" t="n">
        <f aca="false">(E19-H19)/H19</f>
        <v>0.346153846153846</v>
      </c>
      <c r="K19" s="12" t="s">
        <v>37</v>
      </c>
      <c r="L19" s="9" t="s">
        <v>38</v>
      </c>
    </row>
    <row r="20" customFormat="false" ht="15" hidden="false" customHeight="false" outlineLevel="0" collapsed="false">
      <c r="A20" s="9" t="s">
        <v>66</v>
      </c>
      <c r="B20" s="9" t="s">
        <v>67</v>
      </c>
      <c r="C20" s="9" t="s">
        <v>32</v>
      </c>
      <c r="D20" s="9" t="s">
        <v>43</v>
      </c>
      <c r="E20" s="10" t="n">
        <v>8.5</v>
      </c>
      <c r="F20" s="9" t="s">
        <v>34</v>
      </c>
      <c r="G20" s="9" t="s">
        <v>44</v>
      </c>
      <c r="H20" s="10" t="n">
        <v>7.9</v>
      </c>
      <c r="I20" s="9" t="s">
        <v>36</v>
      </c>
      <c r="J20" s="11" t="n">
        <f aca="false">(E20-H20)/H20</f>
        <v>0.0759493670886075</v>
      </c>
      <c r="K20" s="12" t="s">
        <v>37</v>
      </c>
      <c r="L20" s="9" t="s">
        <v>38</v>
      </c>
    </row>
    <row r="21" customFormat="false" ht="15" hidden="false" customHeight="false" outlineLevel="0" collapsed="false">
      <c r="A21" s="9" t="s">
        <v>68</v>
      </c>
      <c r="B21" s="9" t="s">
        <v>69</v>
      </c>
      <c r="C21" s="9" t="s">
        <v>32</v>
      </c>
      <c r="D21" s="9" t="s">
        <v>43</v>
      </c>
      <c r="E21" s="10" t="n">
        <v>8.5</v>
      </c>
      <c r="F21" s="9" t="s">
        <v>34</v>
      </c>
      <c r="G21" s="9" t="s">
        <v>44</v>
      </c>
      <c r="H21" s="10" t="n">
        <v>7.9</v>
      </c>
      <c r="I21" s="9" t="s">
        <v>36</v>
      </c>
      <c r="J21" s="11" t="n">
        <f aca="false">(E21-H21)/H21</f>
        <v>0.0759493670886075</v>
      </c>
      <c r="K21" s="12" t="s">
        <v>37</v>
      </c>
      <c r="L21" s="9" t="s">
        <v>38</v>
      </c>
    </row>
    <row r="22" customFormat="false" ht="15" hidden="false" customHeight="false" outlineLevel="0" collapsed="false">
      <c r="A22" s="9" t="s">
        <v>70</v>
      </c>
      <c r="B22" s="9" t="s">
        <v>71</v>
      </c>
      <c r="C22" s="9" t="s">
        <v>32</v>
      </c>
      <c r="D22" s="9" t="s">
        <v>51</v>
      </c>
      <c r="E22" s="10" t="n">
        <v>4.99</v>
      </c>
      <c r="F22" s="9" t="s">
        <v>34</v>
      </c>
      <c r="G22" s="9" t="s">
        <v>35</v>
      </c>
      <c r="H22" s="10" t="n">
        <v>4.54</v>
      </c>
      <c r="I22" s="9" t="s">
        <v>36</v>
      </c>
      <c r="J22" s="11" t="n">
        <f aca="false">(E22-H22)/H22</f>
        <v>0.0991189427312776</v>
      </c>
      <c r="K22" s="12" t="s">
        <v>37</v>
      </c>
      <c r="L22" s="9" t="s">
        <v>38</v>
      </c>
    </row>
    <row r="23" customFormat="false" ht="15" hidden="false" customHeight="false" outlineLevel="0" collapsed="false">
      <c r="A23" s="9" t="s">
        <v>72</v>
      </c>
      <c r="B23" s="9" t="s">
        <v>73</v>
      </c>
      <c r="C23" s="9" t="s">
        <v>32</v>
      </c>
      <c r="D23" s="9" t="s">
        <v>51</v>
      </c>
      <c r="E23" s="10" t="n">
        <v>4.99</v>
      </c>
      <c r="F23" s="9" t="s">
        <v>34</v>
      </c>
      <c r="G23" s="9" t="s">
        <v>35</v>
      </c>
      <c r="H23" s="10" t="n">
        <v>4.54</v>
      </c>
      <c r="I23" s="9" t="s">
        <v>36</v>
      </c>
      <c r="J23" s="11" t="n">
        <f aca="false">(E23-H23)/H23</f>
        <v>0.0991189427312776</v>
      </c>
      <c r="K23" s="12" t="s">
        <v>37</v>
      </c>
      <c r="L23" s="9" t="s">
        <v>38</v>
      </c>
    </row>
    <row r="24" customFormat="false" ht="15" hidden="false" customHeight="false" outlineLevel="0" collapsed="false">
      <c r="A24" s="9" t="s">
        <v>74</v>
      </c>
      <c r="B24" s="9" t="s">
        <v>75</v>
      </c>
      <c r="C24" s="9" t="s">
        <v>32</v>
      </c>
      <c r="D24" s="9" t="s">
        <v>51</v>
      </c>
      <c r="E24" s="10" t="n">
        <v>24.99</v>
      </c>
      <c r="F24" s="9" t="s">
        <v>39</v>
      </c>
      <c r="G24" s="9" t="s">
        <v>35</v>
      </c>
      <c r="H24" s="10" t="n">
        <v>39.95</v>
      </c>
      <c r="I24" s="9" t="s">
        <v>36</v>
      </c>
      <c r="J24" s="11" t="n">
        <f aca="false">(E24-H24)/H24</f>
        <v>-0.374468085106383</v>
      </c>
      <c r="K24" s="12" t="s">
        <v>37</v>
      </c>
      <c r="L24" s="9" t="s">
        <v>38</v>
      </c>
    </row>
    <row r="25" customFormat="false" ht="15" hidden="false" customHeight="false" outlineLevel="0" collapsed="false">
      <c r="A25" s="9" t="s">
        <v>76</v>
      </c>
      <c r="B25" s="9" t="s">
        <v>77</v>
      </c>
      <c r="C25" s="9" t="s">
        <v>32</v>
      </c>
      <c r="D25" s="9" t="s">
        <v>51</v>
      </c>
      <c r="E25" s="10" t="n">
        <v>39</v>
      </c>
      <c r="F25" s="9" t="s">
        <v>39</v>
      </c>
      <c r="G25" s="9" t="s">
        <v>35</v>
      </c>
      <c r="H25" s="10" t="n">
        <v>39.95</v>
      </c>
      <c r="I25" s="9" t="s">
        <v>36</v>
      </c>
      <c r="J25" s="11" t="n">
        <f aca="false">(E25-H25)/H25</f>
        <v>-0.0237797246558198</v>
      </c>
      <c r="K25" s="12" t="s">
        <v>37</v>
      </c>
      <c r="L25" s="9" t="s">
        <v>38</v>
      </c>
    </row>
    <row r="26" customFormat="false" ht="15" hidden="false" customHeight="false" outlineLevel="0" collapsed="false">
      <c r="A26" s="9" t="s">
        <v>78</v>
      </c>
      <c r="B26" s="9" t="s">
        <v>79</v>
      </c>
      <c r="C26" s="9" t="s">
        <v>32</v>
      </c>
      <c r="D26" s="9" t="s">
        <v>33</v>
      </c>
      <c r="E26" s="10" t="n">
        <v>11.5</v>
      </c>
      <c r="F26" s="9" t="s">
        <v>34</v>
      </c>
      <c r="G26" s="9" t="s">
        <v>35</v>
      </c>
      <c r="H26" s="10" t="n">
        <v>9.1</v>
      </c>
      <c r="I26" s="9" t="s">
        <v>36</v>
      </c>
      <c r="J26" s="11" t="n">
        <f aca="false">(E26-H26)/H26</f>
        <v>0.263736263736264</v>
      </c>
      <c r="K26" s="12" t="s">
        <v>37</v>
      </c>
      <c r="L26" s="9" t="s">
        <v>38</v>
      </c>
    </row>
    <row r="27" customFormat="false" ht="15" hidden="false" customHeight="false" outlineLevel="0" collapsed="false">
      <c r="A27" s="9" t="s">
        <v>78</v>
      </c>
      <c r="B27" s="9" t="s">
        <v>79</v>
      </c>
      <c r="C27" s="9" t="s">
        <v>32</v>
      </c>
      <c r="D27" s="9" t="s">
        <v>33</v>
      </c>
      <c r="E27" s="10" t="n">
        <v>11.5</v>
      </c>
      <c r="F27" s="9" t="s">
        <v>39</v>
      </c>
      <c r="G27" s="9" t="s">
        <v>35</v>
      </c>
      <c r="H27" s="10" t="n">
        <v>9.5</v>
      </c>
      <c r="I27" s="9" t="s">
        <v>40</v>
      </c>
      <c r="J27" s="11" t="n">
        <f aca="false">(E27-H27)/H27</f>
        <v>0.210526315789474</v>
      </c>
      <c r="K27" s="12" t="s">
        <v>37</v>
      </c>
      <c r="L27" s="9" t="s">
        <v>38</v>
      </c>
    </row>
    <row r="28" customFormat="false" ht="15" hidden="false" customHeight="false" outlineLevel="0" collapsed="false">
      <c r="A28" s="9" t="s">
        <v>80</v>
      </c>
      <c r="B28" s="9" t="s">
        <v>81</v>
      </c>
      <c r="C28" s="9" t="s">
        <v>32</v>
      </c>
      <c r="D28" s="9" t="s">
        <v>82</v>
      </c>
      <c r="E28" s="10" t="n">
        <v>4.1</v>
      </c>
      <c r="F28" s="9" t="s">
        <v>39</v>
      </c>
      <c r="G28" s="9" t="s">
        <v>35</v>
      </c>
      <c r="H28" s="10" t="n">
        <v>4.5</v>
      </c>
      <c r="I28" s="9" t="s">
        <v>40</v>
      </c>
      <c r="J28" s="11" t="n">
        <f aca="false">(E28-H28)/H28</f>
        <v>-0.088888888888889</v>
      </c>
      <c r="K28" s="12" t="s">
        <v>37</v>
      </c>
      <c r="L28" s="9" t="s">
        <v>38</v>
      </c>
    </row>
    <row r="29" customFormat="false" ht="15" hidden="false" customHeight="false" outlineLevel="0" collapsed="false">
      <c r="A29" s="9" t="s">
        <v>83</v>
      </c>
      <c r="B29" s="9" t="s">
        <v>84</v>
      </c>
      <c r="C29" s="9" t="s">
        <v>32</v>
      </c>
      <c r="D29" s="9" t="s">
        <v>51</v>
      </c>
      <c r="E29" s="10" t="n">
        <v>6.5</v>
      </c>
      <c r="F29" s="9" t="s">
        <v>39</v>
      </c>
      <c r="G29" s="9" t="s">
        <v>35</v>
      </c>
      <c r="H29" s="10" t="n">
        <v>3.49</v>
      </c>
      <c r="I29" s="9" t="s">
        <v>40</v>
      </c>
      <c r="J29" s="11" t="n">
        <f aca="false">(E29-H29)/H29</f>
        <v>0.862464183381089</v>
      </c>
      <c r="K29" s="12" t="s">
        <v>37</v>
      </c>
      <c r="L29" s="9" t="s">
        <v>38</v>
      </c>
    </row>
    <row r="30" customFormat="false" ht="15" hidden="false" customHeight="false" outlineLevel="0" collapsed="false">
      <c r="A30" s="9" t="s">
        <v>85</v>
      </c>
      <c r="B30" s="9" t="s">
        <v>86</v>
      </c>
      <c r="C30" s="9" t="s">
        <v>32</v>
      </c>
      <c r="D30" s="9" t="s">
        <v>43</v>
      </c>
      <c r="E30" s="10" t="n">
        <v>4.95</v>
      </c>
      <c r="F30" s="9" t="s">
        <v>34</v>
      </c>
      <c r="G30" s="9" t="s">
        <v>35</v>
      </c>
      <c r="H30" s="10" t="n">
        <v>4.77</v>
      </c>
      <c r="I30" s="9" t="s">
        <v>40</v>
      </c>
      <c r="J30" s="11" t="n">
        <f aca="false">(E30-H30)/H30</f>
        <v>0.0377358490566039</v>
      </c>
      <c r="K30" s="12" t="s">
        <v>37</v>
      </c>
      <c r="L30" s="9" t="s">
        <v>38</v>
      </c>
    </row>
    <row r="31" customFormat="false" ht="15" hidden="false" customHeight="false" outlineLevel="0" collapsed="false">
      <c r="A31" s="9" t="s">
        <v>85</v>
      </c>
      <c r="B31" s="9" t="s">
        <v>86</v>
      </c>
      <c r="C31" s="9" t="s">
        <v>32</v>
      </c>
      <c r="D31" s="9" t="s">
        <v>43</v>
      </c>
      <c r="E31" s="10" t="n">
        <v>4.95</v>
      </c>
      <c r="F31" s="9" t="s">
        <v>39</v>
      </c>
      <c r="G31" s="9" t="s">
        <v>35</v>
      </c>
      <c r="H31" s="10" t="n">
        <v>3.49</v>
      </c>
      <c r="I31" s="9" t="s">
        <v>40</v>
      </c>
      <c r="J31" s="11" t="n">
        <f aca="false">(E31-H31)/H31</f>
        <v>0.418338108882521</v>
      </c>
      <c r="K31" s="12" t="s">
        <v>37</v>
      </c>
      <c r="L31" s="9" t="s">
        <v>38</v>
      </c>
    </row>
    <row r="32" customFormat="false" ht="15" hidden="false" customHeight="false" outlineLevel="0" collapsed="false">
      <c r="A32" s="9" t="s">
        <v>87</v>
      </c>
      <c r="B32" s="9" t="s">
        <v>88</v>
      </c>
      <c r="C32" s="9" t="s">
        <v>32</v>
      </c>
      <c r="D32" s="9" t="s">
        <v>43</v>
      </c>
      <c r="E32" s="10" t="n">
        <v>4.95</v>
      </c>
      <c r="F32" s="9" t="s">
        <v>39</v>
      </c>
      <c r="G32" s="9" t="s">
        <v>89</v>
      </c>
      <c r="H32" s="10" t="n">
        <v>3.49</v>
      </c>
      <c r="I32" s="9" t="s">
        <v>40</v>
      </c>
      <c r="J32" s="11" t="n">
        <f aca="false">(E32-H32)/H32</f>
        <v>0.418338108882521</v>
      </c>
      <c r="K32" s="12" t="s">
        <v>37</v>
      </c>
      <c r="L32" s="9" t="s">
        <v>38</v>
      </c>
    </row>
    <row r="33" customFormat="false" ht="15" hidden="false" customHeight="false" outlineLevel="0" collapsed="false">
      <c r="A33" s="9" t="s">
        <v>90</v>
      </c>
      <c r="B33" s="9" t="s">
        <v>91</v>
      </c>
      <c r="C33" s="9" t="s">
        <v>32</v>
      </c>
      <c r="D33" s="9" t="s">
        <v>33</v>
      </c>
      <c r="E33" s="10" t="n">
        <v>8.9</v>
      </c>
      <c r="F33" s="9" t="s">
        <v>34</v>
      </c>
      <c r="G33" s="9" t="s">
        <v>44</v>
      </c>
      <c r="H33" s="10" t="n">
        <v>8.2</v>
      </c>
      <c r="I33" s="9" t="s">
        <v>36</v>
      </c>
      <c r="J33" s="11" t="n">
        <f aca="false">(E33-H33)/H33</f>
        <v>0.0853658536585367</v>
      </c>
      <c r="K33" s="12" t="s">
        <v>37</v>
      </c>
      <c r="L33" s="9" t="s">
        <v>38</v>
      </c>
    </row>
    <row r="34" customFormat="false" ht="15" hidden="false" customHeight="false" outlineLevel="0" collapsed="false">
      <c r="A34" s="9" t="s">
        <v>90</v>
      </c>
      <c r="B34" s="9" t="s">
        <v>91</v>
      </c>
      <c r="C34" s="9" t="s">
        <v>32</v>
      </c>
      <c r="D34" s="9" t="s">
        <v>33</v>
      </c>
      <c r="E34" s="10" t="n">
        <v>8.9</v>
      </c>
      <c r="F34" s="9" t="s">
        <v>39</v>
      </c>
      <c r="G34" s="9" t="s">
        <v>44</v>
      </c>
      <c r="H34" s="10" t="n">
        <v>8.95</v>
      </c>
      <c r="I34" s="9" t="s">
        <v>36</v>
      </c>
      <c r="J34" s="11" t="n">
        <f aca="false">(E34-H34)/H34</f>
        <v>-0.00558659217877083</v>
      </c>
      <c r="K34" s="12" t="s">
        <v>37</v>
      </c>
      <c r="L34" s="9" t="s">
        <v>38</v>
      </c>
    </row>
    <row r="35" customFormat="false" ht="15" hidden="false" customHeight="false" outlineLevel="0" collapsed="false">
      <c r="A35" s="9" t="s">
        <v>92</v>
      </c>
      <c r="B35" s="9" t="s">
        <v>93</v>
      </c>
      <c r="C35" s="9" t="s">
        <v>32</v>
      </c>
      <c r="D35" s="9" t="s">
        <v>33</v>
      </c>
      <c r="E35" s="10" t="n">
        <v>8.95</v>
      </c>
      <c r="F35" s="9" t="s">
        <v>34</v>
      </c>
      <c r="G35" s="9" t="s">
        <v>44</v>
      </c>
      <c r="H35" s="10" t="n">
        <v>8.8</v>
      </c>
      <c r="I35" s="9" t="s">
        <v>36</v>
      </c>
      <c r="J35" s="11" t="n">
        <f aca="false">(E35-H35)/H35</f>
        <v>0.0170454545454544</v>
      </c>
      <c r="K35" s="12" t="s">
        <v>37</v>
      </c>
      <c r="L35" s="9" t="s">
        <v>38</v>
      </c>
    </row>
    <row r="36" customFormat="false" ht="15" hidden="false" customHeight="false" outlineLevel="0" collapsed="false">
      <c r="A36" s="9" t="s">
        <v>92</v>
      </c>
      <c r="B36" s="9" t="s">
        <v>93</v>
      </c>
      <c r="C36" s="9" t="s">
        <v>32</v>
      </c>
      <c r="D36" s="9" t="s">
        <v>33</v>
      </c>
      <c r="E36" s="10" t="n">
        <v>8.95</v>
      </c>
      <c r="F36" s="9" t="s">
        <v>39</v>
      </c>
      <c r="G36" s="9" t="s">
        <v>44</v>
      </c>
      <c r="H36" s="10" t="n">
        <v>9.95</v>
      </c>
      <c r="I36" s="9" t="s">
        <v>40</v>
      </c>
      <c r="J36" s="11" t="n">
        <f aca="false">(E36-H36)/H36</f>
        <v>-0.100502512562814</v>
      </c>
      <c r="K36" s="12" t="s">
        <v>37</v>
      </c>
      <c r="L36" s="9" t="s">
        <v>38</v>
      </c>
    </row>
    <row r="37" customFormat="false" ht="15" hidden="false" customHeight="false" outlineLevel="0" collapsed="false">
      <c r="A37" s="9" t="s">
        <v>94</v>
      </c>
      <c r="B37" s="9" t="s">
        <v>95</v>
      </c>
      <c r="C37" s="9" t="s">
        <v>32</v>
      </c>
      <c r="D37" s="9" t="s">
        <v>33</v>
      </c>
      <c r="E37" s="10" t="n">
        <v>4</v>
      </c>
      <c r="F37" s="9" t="s">
        <v>34</v>
      </c>
      <c r="G37" s="9" t="s">
        <v>44</v>
      </c>
      <c r="H37" s="10" t="n">
        <v>3.61</v>
      </c>
      <c r="I37" s="9" t="s">
        <v>36</v>
      </c>
      <c r="J37" s="11" t="n">
        <f aca="false">(E37-H37)/H37</f>
        <v>0.10803324099723</v>
      </c>
      <c r="K37" s="12" t="s">
        <v>37</v>
      </c>
      <c r="L37" s="9" t="s">
        <v>38</v>
      </c>
    </row>
    <row r="38" customFormat="false" ht="15" hidden="false" customHeight="false" outlineLevel="0" collapsed="false">
      <c r="A38" s="9" t="s">
        <v>96</v>
      </c>
      <c r="B38" s="9" t="s">
        <v>97</v>
      </c>
      <c r="C38" s="9" t="s">
        <v>32</v>
      </c>
      <c r="D38" s="9" t="s">
        <v>33</v>
      </c>
      <c r="E38" s="10" t="n">
        <v>7</v>
      </c>
      <c r="F38" s="9" t="s">
        <v>34</v>
      </c>
      <c r="G38" s="9" t="s">
        <v>44</v>
      </c>
      <c r="H38" s="10" t="n">
        <v>6.8</v>
      </c>
      <c r="I38" s="9" t="s">
        <v>36</v>
      </c>
      <c r="J38" s="11" t="n">
        <f aca="false">(E38-H38)/H38</f>
        <v>0.0294117647058824</v>
      </c>
      <c r="K38" s="12" t="s">
        <v>37</v>
      </c>
      <c r="L38" s="9" t="s">
        <v>38</v>
      </c>
    </row>
    <row r="39" customFormat="false" ht="15" hidden="false" customHeight="false" outlineLevel="0" collapsed="false">
      <c r="A39" s="9" t="s">
        <v>96</v>
      </c>
      <c r="B39" s="9" t="s">
        <v>97</v>
      </c>
      <c r="C39" s="9" t="s">
        <v>32</v>
      </c>
      <c r="D39" s="9" t="s">
        <v>33</v>
      </c>
      <c r="E39" s="10" t="n">
        <v>7</v>
      </c>
      <c r="F39" s="9" t="s">
        <v>39</v>
      </c>
      <c r="G39" s="9" t="s">
        <v>44</v>
      </c>
      <c r="H39" s="10" t="n">
        <v>5.95</v>
      </c>
      <c r="I39" s="9" t="s">
        <v>40</v>
      </c>
      <c r="J39" s="11" t="n">
        <f aca="false">(E39-H39)/H39</f>
        <v>0.176470588235294</v>
      </c>
      <c r="K39" s="12" t="s">
        <v>37</v>
      </c>
      <c r="L39" s="9" t="s">
        <v>38</v>
      </c>
    </row>
    <row r="40" customFormat="false" ht="15" hidden="false" customHeight="false" outlineLevel="0" collapsed="false">
      <c r="A40" s="9" t="s">
        <v>98</v>
      </c>
      <c r="B40" s="9" t="s">
        <v>99</v>
      </c>
      <c r="C40" s="9" t="s">
        <v>32</v>
      </c>
      <c r="D40" s="9" t="s">
        <v>51</v>
      </c>
      <c r="E40" s="10" t="n">
        <v>8.9</v>
      </c>
      <c r="F40" s="9" t="s">
        <v>34</v>
      </c>
      <c r="G40" s="9" t="s">
        <v>35</v>
      </c>
      <c r="H40" s="10" t="n">
        <v>9.1</v>
      </c>
      <c r="I40" s="9" t="s">
        <v>36</v>
      </c>
      <c r="J40" s="11" t="n">
        <f aca="false">(E40-H40)/H40</f>
        <v>-0.0219780219780219</v>
      </c>
      <c r="K40" s="12" t="s">
        <v>37</v>
      </c>
      <c r="L40" s="9" t="s">
        <v>38</v>
      </c>
    </row>
    <row r="41" customFormat="false" ht="15" hidden="false" customHeight="false" outlineLevel="0" collapsed="false">
      <c r="A41" s="9" t="s">
        <v>98</v>
      </c>
      <c r="B41" s="9" t="s">
        <v>99</v>
      </c>
      <c r="C41" s="9" t="s">
        <v>32</v>
      </c>
      <c r="D41" s="9" t="s">
        <v>51</v>
      </c>
      <c r="E41" s="10" t="n">
        <v>8.9</v>
      </c>
      <c r="F41" s="9" t="s">
        <v>39</v>
      </c>
      <c r="G41" s="9" t="s">
        <v>35</v>
      </c>
      <c r="H41" s="10" t="n">
        <v>7.95</v>
      </c>
      <c r="I41" s="9" t="s">
        <v>40</v>
      </c>
      <c r="J41" s="11" t="n">
        <f aca="false">(E41-H41)/H41</f>
        <v>0.119496855345912</v>
      </c>
      <c r="K41" s="12" t="s">
        <v>37</v>
      </c>
      <c r="L41" s="9" t="s">
        <v>38</v>
      </c>
    </row>
    <row r="42" customFormat="false" ht="15" hidden="false" customHeight="false" outlineLevel="0" collapsed="false">
      <c r="A42" s="9" t="s">
        <v>100</v>
      </c>
      <c r="B42" s="9" t="s">
        <v>101</v>
      </c>
      <c r="C42" s="9" t="s">
        <v>32</v>
      </c>
      <c r="D42" s="9" t="s">
        <v>51</v>
      </c>
      <c r="E42" s="10" t="n">
        <v>4.99</v>
      </c>
      <c r="F42" s="9" t="s">
        <v>34</v>
      </c>
      <c r="G42" s="9" t="s">
        <v>35</v>
      </c>
      <c r="H42" s="10" t="n">
        <v>4.4</v>
      </c>
      <c r="I42" s="9" t="s">
        <v>36</v>
      </c>
      <c r="J42" s="11" t="n">
        <f aca="false">(E42-H42)/H42</f>
        <v>0.134090909090909</v>
      </c>
      <c r="K42" s="12" t="s">
        <v>37</v>
      </c>
      <c r="L42" s="9" t="s">
        <v>38</v>
      </c>
    </row>
    <row r="43" customFormat="false" ht="15" hidden="false" customHeight="false" outlineLevel="0" collapsed="false">
      <c r="A43" s="9" t="s">
        <v>100</v>
      </c>
      <c r="B43" s="9" t="s">
        <v>101</v>
      </c>
      <c r="C43" s="9" t="s">
        <v>32</v>
      </c>
      <c r="D43" s="9" t="s">
        <v>51</v>
      </c>
      <c r="E43" s="10" t="n">
        <v>4.99</v>
      </c>
      <c r="F43" s="9" t="s">
        <v>39</v>
      </c>
      <c r="G43" s="9" t="s">
        <v>35</v>
      </c>
      <c r="H43" s="10" t="n">
        <v>4.95</v>
      </c>
      <c r="I43" s="9" t="s">
        <v>36</v>
      </c>
      <c r="J43" s="11" t="n">
        <f aca="false">(E43-H43)/H43</f>
        <v>0.00808080808080809</v>
      </c>
      <c r="K43" s="12" t="s">
        <v>37</v>
      </c>
      <c r="L43" s="9" t="s">
        <v>38</v>
      </c>
    </row>
    <row r="44" customFormat="false" ht="15" hidden="false" customHeight="false" outlineLevel="0" collapsed="false">
      <c r="A44" s="9" t="s">
        <v>102</v>
      </c>
      <c r="B44" s="9" t="s">
        <v>103</v>
      </c>
      <c r="C44" s="9" t="s">
        <v>32</v>
      </c>
      <c r="D44" s="9" t="s">
        <v>82</v>
      </c>
      <c r="E44" s="10" t="n">
        <v>9.5</v>
      </c>
      <c r="F44" s="9" t="s">
        <v>34</v>
      </c>
      <c r="G44" s="9" t="s">
        <v>44</v>
      </c>
      <c r="H44" s="10" t="n">
        <v>9.5</v>
      </c>
      <c r="I44" s="9" t="s">
        <v>36</v>
      </c>
      <c r="J44" s="11" t="n">
        <f aca="false">(E44-H44)/H44</f>
        <v>0</v>
      </c>
      <c r="K44" s="12" t="s">
        <v>37</v>
      </c>
      <c r="L44" s="9" t="s">
        <v>38</v>
      </c>
    </row>
    <row r="45" customFormat="false" ht="15" hidden="false" customHeight="false" outlineLevel="0" collapsed="false">
      <c r="A45" s="9" t="s">
        <v>102</v>
      </c>
      <c r="B45" s="9" t="s">
        <v>103</v>
      </c>
      <c r="C45" s="9" t="s">
        <v>32</v>
      </c>
      <c r="D45" s="9" t="s">
        <v>82</v>
      </c>
      <c r="E45" s="10" t="n">
        <v>9.5</v>
      </c>
      <c r="F45" s="9" t="s">
        <v>39</v>
      </c>
      <c r="G45" s="9" t="s">
        <v>44</v>
      </c>
      <c r="H45" s="10" t="n">
        <v>10.95</v>
      </c>
      <c r="I45" s="9" t="s">
        <v>36</v>
      </c>
      <c r="J45" s="11" t="n">
        <f aca="false">(E45-H45)/H45</f>
        <v>-0.132420091324201</v>
      </c>
      <c r="K45" s="12" t="s">
        <v>37</v>
      </c>
      <c r="L45" s="9" t="s">
        <v>38</v>
      </c>
    </row>
    <row r="46" customFormat="false" ht="15" hidden="false" customHeight="false" outlineLevel="0" collapsed="false">
      <c r="A46" s="9" t="s">
        <v>104</v>
      </c>
      <c r="B46" s="9" t="s">
        <v>105</v>
      </c>
      <c r="C46" s="9" t="s">
        <v>32</v>
      </c>
      <c r="D46" s="9" t="s">
        <v>82</v>
      </c>
      <c r="E46" s="10" t="n">
        <v>11.9</v>
      </c>
      <c r="F46" s="9" t="s">
        <v>39</v>
      </c>
      <c r="G46" s="9" t="s">
        <v>44</v>
      </c>
      <c r="H46" s="10" t="n">
        <v>11.95</v>
      </c>
      <c r="I46" s="9" t="s">
        <v>36</v>
      </c>
      <c r="J46" s="11" t="n">
        <f aca="false">(E46-H46)/H46</f>
        <v>-0.00418410041840995</v>
      </c>
      <c r="K46" s="12" t="s">
        <v>37</v>
      </c>
      <c r="L46" s="9" t="s">
        <v>38</v>
      </c>
    </row>
    <row r="47" customFormat="false" ht="15" hidden="false" customHeight="false" outlineLevel="0" collapsed="false">
      <c r="A47" s="9" t="s">
        <v>106</v>
      </c>
      <c r="B47" s="9" t="s">
        <v>107</v>
      </c>
      <c r="C47" s="9" t="s">
        <v>32</v>
      </c>
      <c r="D47" s="9" t="s">
        <v>82</v>
      </c>
      <c r="E47" s="10" t="n">
        <v>4.8</v>
      </c>
      <c r="F47" s="9" t="s">
        <v>34</v>
      </c>
      <c r="G47" s="9" t="s">
        <v>35</v>
      </c>
      <c r="H47" s="10" t="n">
        <v>3.33</v>
      </c>
      <c r="I47" s="9" t="s">
        <v>36</v>
      </c>
      <c r="J47" s="11" t="n">
        <f aca="false">(E47-H47)/H47</f>
        <v>0.441441441441441</v>
      </c>
      <c r="K47" s="12" t="s">
        <v>37</v>
      </c>
      <c r="L47" s="9" t="s">
        <v>38</v>
      </c>
    </row>
    <row r="48" customFormat="false" ht="15" hidden="false" customHeight="false" outlineLevel="0" collapsed="false">
      <c r="A48" s="9" t="s">
        <v>108</v>
      </c>
      <c r="B48" s="9" t="s">
        <v>109</v>
      </c>
      <c r="C48" s="9" t="s">
        <v>110</v>
      </c>
      <c r="D48" s="9" t="s">
        <v>51</v>
      </c>
      <c r="E48" s="10" t="n">
        <v>245</v>
      </c>
      <c r="F48" s="9" t="s">
        <v>34</v>
      </c>
      <c r="G48" s="9" t="s">
        <v>35</v>
      </c>
      <c r="H48" s="10" t="n">
        <v>234.99</v>
      </c>
      <c r="I48" s="9" t="s">
        <v>36</v>
      </c>
      <c r="J48" s="11" t="n">
        <f aca="false">(E48-H48)/H48</f>
        <v>0.0425975573428656</v>
      </c>
      <c r="K48" s="12" t="s">
        <v>37</v>
      </c>
      <c r="L48" s="9" t="s">
        <v>38</v>
      </c>
    </row>
    <row r="49" customFormat="false" ht="15" hidden="false" customHeight="false" outlineLevel="0" collapsed="false">
      <c r="A49" s="9" t="s">
        <v>111</v>
      </c>
      <c r="B49" s="9" t="s">
        <v>112</v>
      </c>
      <c r="C49" s="9" t="s">
        <v>110</v>
      </c>
      <c r="D49" s="9" t="s">
        <v>51</v>
      </c>
      <c r="E49" s="10" t="n">
        <v>274</v>
      </c>
      <c r="F49" s="9" t="s">
        <v>34</v>
      </c>
      <c r="G49" s="9" t="s">
        <v>35</v>
      </c>
      <c r="H49" s="10" t="n">
        <v>257.89</v>
      </c>
      <c r="I49" s="9" t="s">
        <v>36</v>
      </c>
      <c r="J49" s="11" t="n">
        <f aca="false">(E49-H49)/H49</f>
        <v>0.0624684943192835</v>
      </c>
      <c r="K49" s="12" t="s">
        <v>37</v>
      </c>
      <c r="L49" s="9" t="s">
        <v>38</v>
      </c>
    </row>
    <row r="50" customFormat="false" ht="15" hidden="false" customHeight="false" outlineLevel="0" collapsed="false">
      <c r="A50" s="9" t="s">
        <v>113</v>
      </c>
      <c r="B50" s="9" t="s">
        <v>114</v>
      </c>
      <c r="C50" s="9" t="s">
        <v>110</v>
      </c>
      <c r="D50" s="9" t="s">
        <v>43</v>
      </c>
      <c r="E50" s="10" t="n">
        <v>125</v>
      </c>
      <c r="F50" s="9" t="s">
        <v>34</v>
      </c>
      <c r="G50" s="9" t="s">
        <v>35</v>
      </c>
      <c r="H50" s="10" t="n">
        <v>201</v>
      </c>
      <c r="I50" s="9" t="s">
        <v>36</v>
      </c>
      <c r="J50" s="11" t="n">
        <f aca="false">(E50-H50)/H50</f>
        <v>-0.378109452736318</v>
      </c>
      <c r="K50" s="12" t="s">
        <v>37</v>
      </c>
      <c r="L50" s="9" t="s">
        <v>38</v>
      </c>
    </row>
    <row r="51" customFormat="false" ht="15" hidden="false" customHeight="false" outlineLevel="0" collapsed="false">
      <c r="A51" s="9" t="s">
        <v>115</v>
      </c>
      <c r="B51" s="9" t="s">
        <v>116</v>
      </c>
      <c r="C51" s="9" t="s">
        <v>110</v>
      </c>
      <c r="D51" s="9" t="s">
        <v>33</v>
      </c>
      <c r="E51" s="10" t="n">
        <v>59.9</v>
      </c>
      <c r="F51" s="9" t="s">
        <v>34</v>
      </c>
      <c r="G51" s="9" t="s">
        <v>35</v>
      </c>
      <c r="H51" s="10" t="n">
        <v>57.99</v>
      </c>
      <c r="I51" s="9" t="s">
        <v>36</v>
      </c>
      <c r="J51" s="11" t="n">
        <f aca="false">(E51-H51)/H51</f>
        <v>0.0329367132264183</v>
      </c>
      <c r="K51" s="12" t="s">
        <v>37</v>
      </c>
      <c r="L51" s="9" t="s">
        <v>38</v>
      </c>
    </row>
    <row r="52" customFormat="false" ht="15" hidden="false" customHeight="false" outlineLevel="0" collapsed="false">
      <c r="A52" s="9" t="s">
        <v>117</v>
      </c>
      <c r="B52" s="9" t="s">
        <v>118</v>
      </c>
      <c r="C52" s="9" t="s">
        <v>110</v>
      </c>
      <c r="D52" s="9" t="s">
        <v>119</v>
      </c>
      <c r="E52" s="10" t="n">
        <v>85</v>
      </c>
      <c r="F52" s="9" t="s">
        <v>34</v>
      </c>
      <c r="G52" s="9" t="s">
        <v>35</v>
      </c>
      <c r="H52" s="10" t="n">
        <v>68.49</v>
      </c>
      <c r="I52" s="9" t="s">
        <v>36</v>
      </c>
      <c r="J52" s="11" t="n">
        <f aca="false">(E52-H52)/H52</f>
        <v>0.241057088626077</v>
      </c>
      <c r="K52" s="12" t="s">
        <v>37</v>
      </c>
      <c r="L52" s="9" t="s">
        <v>38</v>
      </c>
    </row>
    <row r="53" customFormat="false" ht="15" hidden="false" customHeight="false" outlineLevel="0" collapsed="false">
      <c r="A53" s="9" t="s">
        <v>120</v>
      </c>
      <c r="B53" s="9" t="s">
        <v>121</v>
      </c>
      <c r="C53" s="9" t="s">
        <v>122</v>
      </c>
      <c r="D53" s="9" t="s">
        <v>123</v>
      </c>
      <c r="E53" s="10" t="n">
        <v>189</v>
      </c>
      <c r="F53" s="9" t="s">
        <v>39</v>
      </c>
      <c r="G53" s="9" t="s">
        <v>35</v>
      </c>
      <c r="H53" s="10" t="n">
        <v>71.96</v>
      </c>
      <c r="I53" s="9" t="s">
        <v>36</v>
      </c>
      <c r="J53" s="11" t="n">
        <f aca="false">(E53-H53)/H53</f>
        <v>1.62645914396887</v>
      </c>
      <c r="K53" s="12" t="s">
        <v>37</v>
      </c>
      <c r="L53" s="9" t="s">
        <v>38</v>
      </c>
    </row>
    <row r="54" customFormat="false" ht="15" hidden="false" customHeight="false" outlineLevel="0" collapsed="false">
      <c r="A54" s="9" t="s">
        <v>124</v>
      </c>
      <c r="B54" s="9" t="s">
        <v>125</v>
      </c>
      <c r="C54" s="9" t="s">
        <v>122</v>
      </c>
      <c r="D54" s="9" t="s">
        <v>123</v>
      </c>
      <c r="E54" s="10" t="n">
        <v>165</v>
      </c>
      <c r="F54" s="9" t="s">
        <v>39</v>
      </c>
      <c r="G54" s="9" t="s">
        <v>44</v>
      </c>
      <c r="H54" s="10" t="n">
        <v>96.42</v>
      </c>
      <c r="I54" s="9" t="s">
        <v>36</v>
      </c>
      <c r="J54" s="11" t="n">
        <f aca="false">(E54-H54)/H54</f>
        <v>0.711263223397635</v>
      </c>
      <c r="K54" s="12" t="s">
        <v>37</v>
      </c>
      <c r="L54" s="9" t="s">
        <v>38</v>
      </c>
    </row>
    <row r="55" customFormat="false" ht="15" hidden="false" customHeight="false" outlineLevel="0" collapsed="false">
      <c r="A55" s="9" t="s">
        <v>126</v>
      </c>
      <c r="B55" s="9" t="s">
        <v>127</v>
      </c>
      <c r="C55" s="9" t="s">
        <v>128</v>
      </c>
      <c r="D55" s="9" t="s">
        <v>82</v>
      </c>
      <c r="E55" s="10" t="n">
        <v>79</v>
      </c>
      <c r="F55" s="9" t="s">
        <v>39</v>
      </c>
      <c r="G55" s="9" t="s">
        <v>35</v>
      </c>
      <c r="H55" s="10" t="n">
        <v>62.95</v>
      </c>
      <c r="I55" s="9" t="s">
        <v>36</v>
      </c>
      <c r="J55" s="11" t="n">
        <f aca="false">(E55-H55)/H55</f>
        <v>0.254964257347101</v>
      </c>
      <c r="K55" s="12" t="s">
        <v>37</v>
      </c>
      <c r="L55" s="9" t="s">
        <v>38</v>
      </c>
    </row>
    <row r="56" customFormat="false" ht="15" hidden="false" customHeight="false" outlineLevel="0" collapsed="false">
      <c r="A56" s="9" t="s">
        <v>129</v>
      </c>
      <c r="B56" s="9" t="s">
        <v>130</v>
      </c>
      <c r="C56" s="9" t="s">
        <v>131</v>
      </c>
      <c r="D56" s="9" t="s">
        <v>51</v>
      </c>
      <c r="E56" s="10" t="n">
        <v>135</v>
      </c>
      <c r="F56" s="9" t="s">
        <v>34</v>
      </c>
      <c r="G56" s="9" t="s">
        <v>35</v>
      </c>
      <c r="H56" s="10" t="n">
        <v>124.99</v>
      </c>
      <c r="I56" s="9" t="s">
        <v>36</v>
      </c>
      <c r="J56" s="11" t="n">
        <f aca="false">(E56-H56)/H56</f>
        <v>0.0800864069125531</v>
      </c>
      <c r="K56" s="12" t="s">
        <v>37</v>
      </c>
      <c r="L56" s="9" t="s">
        <v>38</v>
      </c>
    </row>
    <row r="57" customFormat="false" ht="15" hidden="false" customHeight="false" outlineLevel="0" collapsed="false">
      <c r="A57" s="9" t="s">
        <v>129</v>
      </c>
      <c r="B57" s="9" t="s">
        <v>130</v>
      </c>
      <c r="C57" s="9" t="s">
        <v>131</v>
      </c>
      <c r="D57" s="9" t="s">
        <v>51</v>
      </c>
      <c r="E57" s="10" t="n">
        <v>135</v>
      </c>
      <c r="F57" s="9" t="s">
        <v>132</v>
      </c>
      <c r="G57" s="9" t="s">
        <v>35</v>
      </c>
      <c r="H57" s="10" t="n">
        <v>129</v>
      </c>
      <c r="I57" s="9" t="s">
        <v>36</v>
      </c>
      <c r="J57" s="11" t="n">
        <f aca="false">(E57-H57)/H57</f>
        <v>0.0465116279069767</v>
      </c>
      <c r="K57" s="12" t="s">
        <v>37</v>
      </c>
      <c r="L57" s="9" t="s">
        <v>38</v>
      </c>
    </row>
    <row r="58" customFormat="false" ht="15" hidden="false" customHeight="false" outlineLevel="0" collapsed="false">
      <c r="A58" s="9" t="s">
        <v>133</v>
      </c>
      <c r="B58" s="9" t="s">
        <v>134</v>
      </c>
      <c r="C58" s="9" t="s">
        <v>131</v>
      </c>
      <c r="D58" s="9" t="s">
        <v>51</v>
      </c>
      <c r="E58" s="10" t="n">
        <v>110</v>
      </c>
      <c r="F58" s="9" t="s">
        <v>34</v>
      </c>
      <c r="G58" s="9" t="s">
        <v>35</v>
      </c>
      <c r="H58" s="10" t="n">
        <v>124.99</v>
      </c>
      <c r="I58" s="9" t="s">
        <v>36</v>
      </c>
      <c r="J58" s="11" t="n">
        <f aca="false">(E58-H58)/H58</f>
        <v>-0.119929594367549</v>
      </c>
      <c r="K58" s="12" t="s">
        <v>37</v>
      </c>
      <c r="L58" s="9" t="s">
        <v>38</v>
      </c>
    </row>
    <row r="59" customFormat="false" ht="15" hidden="false" customHeight="false" outlineLevel="0" collapsed="false">
      <c r="A59" s="9" t="s">
        <v>133</v>
      </c>
      <c r="B59" s="9" t="s">
        <v>134</v>
      </c>
      <c r="C59" s="9" t="s">
        <v>131</v>
      </c>
      <c r="D59" s="9" t="s">
        <v>51</v>
      </c>
      <c r="E59" s="10" t="n">
        <v>110</v>
      </c>
      <c r="F59" s="9" t="s">
        <v>132</v>
      </c>
      <c r="G59" s="9" t="s">
        <v>35</v>
      </c>
      <c r="H59" s="10" t="n">
        <v>99</v>
      </c>
      <c r="I59" s="9" t="s">
        <v>36</v>
      </c>
      <c r="J59" s="11" t="n">
        <f aca="false">(E59-H59)/H59</f>
        <v>0.111111111111111</v>
      </c>
      <c r="K59" s="12" t="s">
        <v>37</v>
      </c>
      <c r="L59" s="9" t="s">
        <v>38</v>
      </c>
    </row>
    <row r="60" customFormat="false" ht="15" hidden="false" customHeight="false" outlineLevel="0" collapsed="false">
      <c r="A60" s="9" t="s">
        <v>133</v>
      </c>
      <c r="B60" s="9" t="s">
        <v>134</v>
      </c>
      <c r="C60" s="9" t="s">
        <v>131</v>
      </c>
      <c r="D60" s="9" t="s">
        <v>51</v>
      </c>
      <c r="E60" s="10" t="n">
        <v>110</v>
      </c>
      <c r="F60" s="9" t="s">
        <v>39</v>
      </c>
      <c r="G60" s="9" t="s">
        <v>35</v>
      </c>
      <c r="H60" s="10" t="n">
        <v>94.95</v>
      </c>
      <c r="I60" s="9" t="s">
        <v>36</v>
      </c>
      <c r="J60" s="11" t="n">
        <f aca="false">(E60-H60)/H60</f>
        <v>0.158504476040021</v>
      </c>
      <c r="K60" s="12" t="s">
        <v>37</v>
      </c>
      <c r="L60" s="9" t="s">
        <v>38</v>
      </c>
    </row>
    <row r="61" customFormat="false" ht="15" hidden="false" customHeight="false" outlineLevel="0" collapsed="false">
      <c r="A61" s="9" t="s">
        <v>135</v>
      </c>
      <c r="B61" s="9" t="s">
        <v>136</v>
      </c>
      <c r="C61" s="9" t="s">
        <v>137</v>
      </c>
      <c r="D61" s="9" t="s">
        <v>51</v>
      </c>
      <c r="E61" s="10" t="n">
        <v>59</v>
      </c>
      <c r="F61" s="9" t="s">
        <v>39</v>
      </c>
      <c r="G61" s="9" t="s">
        <v>35</v>
      </c>
      <c r="H61" s="10" t="n">
        <v>43.95</v>
      </c>
      <c r="I61" s="9" t="s">
        <v>40</v>
      </c>
      <c r="J61" s="11" t="n">
        <f aca="false">(E61-H61)/H61</f>
        <v>0.342434584755404</v>
      </c>
      <c r="K61" s="12" t="s">
        <v>37</v>
      </c>
      <c r="L61" s="9" t="s">
        <v>38</v>
      </c>
    </row>
    <row r="62" customFormat="false" ht="15" hidden="false" customHeight="false" outlineLevel="0" collapsed="false">
      <c r="A62" s="9" t="s">
        <v>138</v>
      </c>
      <c r="B62" s="9" t="s">
        <v>139</v>
      </c>
      <c r="C62" s="9" t="s">
        <v>140</v>
      </c>
      <c r="D62" s="9" t="s">
        <v>141</v>
      </c>
      <c r="E62" s="10" t="n">
        <v>6.98</v>
      </c>
      <c r="F62" s="9" t="s">
        <v>142</v>
      </c>
      <c r="G62" s="9" t="s">
        <v>89</v>
      </c>
      <c r="H62" s="10" t="n">
        <v>4.8</v>
      </c>
      <c r="I62" s="9" t="s">
        <v>40</v>
      </c>
      <c r="J62" s="11" t="n">
        <f aca="false">(E62-H62)/H62</f>
        <v>0.454166666666667</v>
      </c>
      <c r="K62" s="12" t="s">
        <v>37</v>
      </c>
      <c r="L62" s="9" t="s">
        <v>38</v>
      </c>
    </row>
    <row r="63" customFormat="false" ht="15" hidden="false" customHeight="false" outlineLevel="0" collapsed="false">
      <c r="A63" s="9" t="s">
        <v>143</v>
      </c>
      <c r="B63" s="9" t="s">
        <v>144</v>
      </c>
      <c r="C63" s="9" t="s">
        <v>140</v>
      </c>
      <c r="D63" s="9" t="s">
        <v>141</v>
      </c>
      <c r="E63" s="10" t="n">
        <v>8.9</v>
      </c>
      <c r="F63" s="9" t="s">
        <v>39</v>
      </c>
      <c r="G63" s="9" t="s">
        <v>89</v>
      </c>
      <c r="H63" s="10" t="n">
        <v>3.49</v>
      </c>
      <c r="I63" s="9" t="s">
        <v>40</v>
      </c>
      <c r="J63" s="11" t="n">
        <f aca="false">(E63-H63)/H63</f>
        <v>1.55014326647564</v>
      </c>
      <c r="K63" s="12" t="s">
        <v>37</v>
      </c>
      <c r="L63" s="9" t="s">
        <v>38</v>
      </c>
    </row>
    <row r="64" customFormat="false" ht="15" hidden="false" customHeight="false" outlineLevel="0" collapsed="false">
      <c r="A64" s="9" t="s">
        <v>145</v>
      </c>
      <c r="B64" s="9" t="s">
        <v>146</v>
      </c>
      <c r="C64" s="9" t="s">
        <v>140</v>
      </c>
      <c r="D64" s="9" t="s">
        <v>147</v>
      </c>
      <c r="E64" s="10" t="n">
        <v>17.69</v>
      </c>
      <c r="F64" s="9" t="s">
        <v>34</v>
      </c>
      <c r="G64" s="9" t="s">
        <v>44</v>
      </c>
      <c r="H64" s="10" t="n">
        <v>18.6</v>
      </c>
      <c r="I64" s="9" t="s">
        <v>36</v>
      </c>
      <c r="J64" s="11" t="n">
        <f aca="false">(E64-H64)/H64</f>
        <v>-0.0489247311827957</v>
      </c>
      <c r="K64" s="12" t="s">
        <v>37</v>
      </c>
      <c r="L64" s="9" t="s">
        <v>38</v>
      </c>
    </row>
    <row r="65" customFormat="false" ht="15" hidden="false" customHeight="false" outlineLevel="0" collapsed="false">
      <c r="A65" s="9" t="s">
        <v>148</v>
      </c>
      <c r="B65" s="9" t="s">
        <v>149</v>
      </c>
      <c r="C65" s="9" t="s">
        <v>140</v>
      </c>
      <c r="D65" s="9" t="s">
        <v>51</v>
      </c>
      <c r="E65" s="10" t="n">
        <v>18.85</v>
      </c>
      <c r="F65" s="9" t="s">
        <v>34</v>
      </c>
      <c r="G65" s="9" t="s">
        <v>44</v>
      </c>
      <c r="H65" s="10" t="n">
        <v>18.6</v>
      </c>
      <c r="I65" s="9" t="s">
        <v>36</v>
      </c>
      <c r="J65" s="11" t="n">
        <f aca="false">(E65-H65)/H65</f>
        <v>0.0134408602150538</v>
      </c>
      <c r="K65" s="12" t="s">
        <v>37</v>
      </c>
      <c r="L65" s="9" t="s">
        <v>38</v>
      </c>
    </row>
    <row r="66" customFormat="false" ht="15" hidden="false" customHeight="false" outlineLevel="0" collapsed="false">
      <c r="A66" s="9" t="s">
        <v>150</v>
      </c>
      <c r="B66" s="9" t="s">
        <v>151</v>
      </c>
      <c r="C66" s="9" t="s">
        <v>140</v>
      </c>
      <c r="D66" s="9" t="s">
        <v>152</v>
      </c>
      <c r="E66" s="10" t="n">
        <v>359.5</v>
      </c>
      <c r="F66" s="9" t="s">
        <v>34</v>
      </c>
      <c r="G66" s="9" t="s">
        <v>35</v>
      </c>
      <c r="H66" s="10" t="n">
        <v>582.99</v>
      </c>
      <c r="I66" s="9" t="s">
        <v>40</v>
      </c>
      <c r="J66" s="11" t="n">
        <f aca="false">(E66-H66)/H66</f>
        <v>-0.383351343933858</v>
      </c>
      <c r="K66" s="12" t="s">
        <v>37</v>
      </c>
      <c r="L66" s="9" t="s">
        <v>38</v>
      </c>
    </row>
    <row r="67" customFormat="false" ht="15" hidden="false" customHeight="false" outlineLevel="0" collapsed="false">
      <c r="A67" s="9" t="s">
        <v>153</v>
      </c>
      <c r="B67" s="9" t="s">
        <v>154</v>
      </c>
      <c r="C67" s="9" t="s">
        <v>140</v>
      </c>
      <c r="D67" s="9" t="s">
        <v>51</v>
      </c>
      <c r="E67" s="10" t="n">
        <v>249</v>
      </c>
      <c r="F67" s="9" t="s">
        <v>34</v>
      </c>
      <c r="G67" s="9" t="s">
        <v>35</v>
      </c>
      <c r="H67" s="10" t="n">
        <v>199.99</v>
      </c>
      <c r="I67" s="9" t="s">
        <v>36</v>
      </c>
      <c r="J67" s="11" t="n">
        <f aca="false">(E67-H67)/H67</f>
        <v>0.245062253112656</v>
      </c>
      <c r="K67" s="12" t="s">
        <v>37</v>
      </c>
      <c r="L67" s="9" t="s">
        <v>38</v>
      </c>
    </row>
    <row r="68" customFormat="false" ht="15" hidden="false" customHeight="false" outlineLevel="0" collapsed="false">
      <c r="A68" s="9" t="s">
        <v>155</v>
      </c>
      <c r="B68" s="9" t="s">
        <v>156</v>
      </c>
      <c r="C68" s="9" t="s">
        <v>140</v>
      </c>
      <c r="D68" s="9" t="s">
        <v>141</v>
      </c>
      <c r="E68" s="10" t="n">
        <v>6.79</v>
      </c>
      <c r="F68" s="9" t="s">
        <v>132</v>
      </c>
      <c r="G68" s="9" t="s">
        <v>44</v>
      </c>
      <c r="H68" s="10" t="n">
        <v>7.55</v>
      </c>
      <c r="I68" s="9" t="s">
        <v>36</v>
      </c>
      <c r="J68" s="11" t="n">
        <f aca="false">(E68-H68)/H68</f>
        <v>-0.100662251655629</v>
      </c>
      <c r="K68" s="12" t="s">
        <v>37</v>
      </c>
      <c r="L68" s="9" t="s">
        <v>38</v>
      </c>
    </row>
    <row r="69" customFormat="false" ht="15" hidden="false" customHeight="false" outlineLevel="0" collapsed="false">
      <c r="A69" s="9" t="s">
        <v>157</v>
      </c>
      <c r="B69" s="9" t="s">
        <v>158</v>
      </c>
      <c r="C69" s="9" t="s">
        <v>140</v>
      </c>
      <c r="D69" s="9" t="s">
        <v>141</v>
      </c>
      <c r="E69" s="10" t="n">
        <v>6.79</v>
      </c>
      <c r="F69" s="9" t="s">
        <v>132</v>
      </c>
      <c r="G69" s="9" t="s">
        <v>44</v>
      </c>
      <c r="H69" s="10" t="n">
        <v>7.5</v>
      </c>
      <c r="I69" s="9" t="s">
        <v>36</v>
      </c>
      <c r="J69" s="11" t="n">
        <f aca="false">(E69-H69)/H69</f>
        <v>-0.0946666666666667</v>
      </c>
      <c r="K69" s="12" t="s">
        <v>37</v>
      </c>
      <c r="L69" s="9" t="s">
        <v>38</v>
      </c>
    </row>
    <row r="70" customFormat="false" ht="15" hidden="false" customHeight="false" outlineLevel="0" collapsed="false">
      <c r="A70" s="9" t="s">
        <v>157</v>
      </c>
      <c r="B70" s="9" t="s">
        <v>158</v>
      </c>
      <c r="C70" s="9" t="s">
        <v>140</v>
      </c>
      <c r="D70" s="9" t="s">
        <v>141</v>
      </c>
      <c r="E70" s="10" t="n">
        <v>6.79</v>
      </c>
      <c r="F70" s="9" t="s">
        <v>142</v>
      </c>
      <c r="G70" s="9" t="s">
        <v>44</v>
      </c>
      <c r="H70" s="10" t="n">
        <v>6</v>
      </c>
      <c r="I70" s="9" t="s">
        <v>36</v>
      </c>
      <c r="J70" s="11" t="n">
        <f aca="false">(E70-H70)/H70</f>
        <v>0.131666666666667</v>
      </c>
      <c r="K70" s="12" t="s">
        <v>37</v>
      </c>
      <c r="L70" s="9" t="s">
        <v>38</v>
      </c>
    </row>
    <row r="71" customFormat="false" ht="15" hidden="false" customHeight="false" outlineLevel="0" collapsed="false">
      <c r="A71" s="9" t="s">
        <v>159</v>
      </c>
      <c r="B71" s="9" t="s">
        <v>160</v>
      </c>
      <c r="C71" s="9" t="s">
        <v>140</v>
      </c>
      <c r="D71" s="9" t="s">
        <v>141</v>
      </c>
      <c r="E71" s="10" t="n">
        <v>6.29</v>
      </c>
      <c r="F71" s="9" t="s">
        <v>142</v>
      </c>
      <c r="G71" s="9" t="s">
        <v>89</v>
      </c>
      <c r="H71" s="10" t="n">
        <v>6.36</v>
      </c>
      <c r="I71" s="9" t="s">
        <v>40</v>
      </c>
      <c r="J71" s="11" t="n">
        <f aca="false">(E71-H71)/H71</f>
        <v>-0.0110062893081761</v>
      </c>
      <c r="K71" s="12" t="s">
        <v>37</v>
      </c>
      <c r="L71" s="9" t="s">
        <v>38</v>
      </c>
    </row>
    <row r="72" customFormat="false" ht="15" hidden="false" customHeight="false" outlineLevel="0" collapsed="false">
      <c r="A72" s="9" t="s">
        <v>161</v>
      </c>
      <c r="B72" s="9" t="s">
        <v>162</v>
      </c>
      <c r="C72" s="9" t="s">
        <v>140</v>
      </c>
      <c r="D72" s="9" t="s">
        <v>43</v>
      </c>
      <c r="E72" s="10" t="n">
        <v>29.99</v>
      </c>
      <c r="F72" s="9" t="s">
        <v>34</v>
      </c>
      <c r="G72" s="9" t="s">
        <v>44</v>
      </c>
      <c r="H72" s="10" t="n">
        <v>23.79</v>
      </c>
      <c r="I72" s="9" t="s">
        <v>36</v>
      </c>
      <c r="J72" s="11" t="n">
        <f aca="false">(E72-H72)/H72</f>
        <v>0.260613703236654</v>
      </c>
      <c r="K72" s="12" t="s">
        <v>37</v>
      </c>
      <c r="L72" s="9" t="s">
        <v>38</v>
      </c>
    </row>
    <row r="73" customFormat="false" ht="15" hidden="false" customHeight="false" outlineLevel="0" collapsed="false">
      <c r="A73" s="9" t="s">
        <v>163</v>
      </c>
      <c r="B73" s="9" t="s">
        <v>164</v>
      </c>
      <c r="C73" s="9" t="s">
        <v>140</v>
      </c>
      <c r="D73" s="9" t="s">
        <v>82</v>
      </c>
      <c r="E73" s="10" t="n">
        <v>27.9</v>
      </c>
      <c r="F73" s="9" t="s">
        <v>39</v>
      </c>
      <c r="G73" s="9" t="s">
        <v>44</v>
      </c>
      <c r="H73" s="10" t="n">
        <v>25.6</v>
      </c>
      <c r="I73" s="9" t="s">
        <v>36</v>
      </c>
      <c r="J73" s="11" t="n">
        <f aca="false">(E73-H73)/H73</f>
        <v>0.0898437499999999</v>
      </c>
      <c r="K73" s="12" t="s">
        <v>37</v>
      </c>
      <c r="L73" s="9" t="s">
        <v>38</v>
      </c>
    </row>
    <row r="74" customFormat="false" ht="15" hidden="false" customHeight="false" outlineLevel="0" collapsed="false">
      <c r="A74" s="9" t="s">
        <v>165</v>
      </c>
      <c r="B74" s="9" t="s">
        <v>166</v>
      </c>
      <c r="C74" s="9" t="s">
        <v>140</v>
      </c>
      <c r="D74" s="9" t="s">
        <v>167</v>
      </c>
      <c r="E74" s="10" t="n">
        <v>29.98</v>
      </c>
      <c r="F74" s="9" t="s">
        <v>39</v>
      </c>
      <c r="G74" s="9" t="s">
        <v>44</v>
      </c>
      <c r="H74" s="10" t="n">
        <v>30.35</v>
      </c>
      <c r="I74" s="9" t="s">
        <v>36</v>
      </c>
      <c r="J74" s="11" t="n">
        <f aca="false">(E74-H74)/H74</f>
        <v>-0.0121911037891269</v>
      </c>
      <c r="K74" s="12" t="s">
        <v>37</v>
      </c>
      <c r="L74" s="9" t="s">
        <v>38</v>
      </c>
    </row>
    <row r="75" customFormat="false" ht="15" hidden="false" customHeight="false" outlineLevel="0" collapsed="false">
      <c r="A75" s="9" t="s">
        <v>168</v>
      </c>
      <c r="B75" s="9" t="s">
        <v>169</v>
      </c>
      <c r="C75" s="9" t="s">
        <v>140</v>
      </c>
      <c r="D75" s="9" t="s">
        <v>51</v>
      </c>
      <c r="E75" s="10" t="n">
        <v>17.99</v>
      </c>
      <c r="F75" s="9" t="s">
        <v>34</v>
      </c>
      <c r="G75" s="9" t="s">
        <v>44</v>
      </c>
      <c r="H75" s="10" t="n">
        <v>14.59</v>
      </c>
      <c r="I75" s="9" t="s">
        <v>36</v>
      </c>
      <c r="J75" s="11" t="n">
        <f aca="false">(E75-H75)/H75</f>
        <v>0.233036326250857</v>
      </c>
      <c r="K75" s="12" t="s">
        <v>37</v>
      </c>
      <c r="L75" s="9" t="s">
        <v>38</v>
      </c>
    </row>
    <row r="76" customFormat="false" ht="15" hidden="false" customHeight="false" outlineLevel="0" collapsed="false">
      <c r="A76" s="9" t="s">
        <v>170</v>
      </c>
      <c r="B76" s="9" t="s">
        <v>171</v>
      </c>
      <c r="C76" s="9" t="s">
        <v>140</v>
      </c>
      <c r="D76" s="9" t="s">
        <v>172</v>
      </c>
      <c r="E76" s="10" t="n">
        <v>5.9</v>
      </c>
      <c r="F76" s="9" t="s">
        <v>34</v>
      </c>
      <c r="G76" s="9" t="s">
        <v>35</v>
      </c>
      <c r="H76" s="10" t="n">
        <v>5.49</v>
      </c>
      <c r="I76" s="9" t="s">
        <v>36</v>
      </c>
      <c r="J76" s="11" t="n">
        <f aca="false">(E76-H76)/H76</f>
        <v>0.0746812386156649</v>
      </c>
      <c r="K76" s="12" t="s">
        <v>37</v>
      </c>
      <c r="L76" s="9" t="s">
        <v>38</v>
      </c>
    </row>
    <row r="77" customFormat="false" ht="15" hidden="false" customHeight="false" outlineLevel="0" collapsed="false">
      <c r="A77" s="9" t="s">
        <v>173</v>
      </c>
      <c r="B77" s="9" t="s">
        <v>174</v>
      </c>
      <c r="C77" s="9" t="s">
        <v>140</v>
      </c>
      <c r="D77" s="9" t="s">
        <v>175</v>
      </c>
      <c r="E77" s="10" t="n">
        <v>5.9</v>
      </c>
      <c r="F77" s="9" t="s">
        <v>34</v>
      </c>
      <c r="G77" s="9" t="s">
        <v>35</v>
      </c>
      <c r="H77" s="10" t="n">
        <v>5.99</v>
      </c>
      <c r="I77" s="9" t="s">
        <v>36</v>
      </c>
      <c r="J77" s="11" t="n">
        <f aca="false">(E77-H77)/H77</f>
        <v>-0.015025041736227</v>
      </c>
      <c r="K77" s="12" t="s">
        <v>37</v>
      </c>
      <c r="L77" s="9" t="s">
        <v>38</v>
      </c>
    </row>
    <row r="78" customFormat="false" ht="15" hidden="false" customHeight="false" outlineLevel="0" collapsed="false">
      <c r="A78" s="9" t="s">
        <v>176</v>
      </c>
      <c r="B78" s="9" t="s">
        <v>177</v>
      </c>
      <c r="C78" s="9" t="s">
        <v>140</v>
      </c>
      <c r="D78" s="9" t="s">
        <v>43</v>
      </c>
      <c r="E78" s="10" t="n">
        <v>11.95</v>
      </c>
      <c r="F78" s="9" t="s">
        <v>142</v>
      </c>
      <c r="G78" s="9" t="s">
        <v>44</v>
      </c>
      <c r="H78" s="10" t="n">
        <v>10.8</v>
      </c>
      <c r="I78" s="9" t="s">
        <v>40</v>
      </c>
      <c r="J78" s="11" t="n">
        <f aca="false">(E78-H78)/H78</f>
        <v>0.106481481481481</v>
      </c>
      <c r="K78" s="12" t="s">
        <v>37</v>
      </c>
      <c r="L78" s="9" t="s">
        <v>38</v>
      </c>
    </row>
    <row r="79" customFormat="false" ht="15" hidden="false" customHeight="false" outlineLevel="0" collapsed="false">
      <c r="A79" s="9" t="s">
        <v>178</v>
      </c>
      <c r="B79" s="9" t="s">
        <v>179</v>
      </c>
      <c r="C79" s="9" t="s">
        <v>140</v>
      </c>
      <c r="D79" s="9" t="s">
        <v>33</v>
      </c>
      <c r="E79" s="10" t="n">
        <v>10.9</v>
      </c>
      <c r="F79" s="9" t="s">
        <v>142</v>
      </c>
      <c r="G79" s="9" t="s">
        <v>89</v>
      </c>
      <c r="H79" s="10" t="n">
        <v>15.52</v>
      </c>
      <c r="I79" s="9" t="s">
        <v>40</v>
      </c>
      <c r="J79" s="11" t="n">
        <f aca="false">(E79-H79)/H79</f>
        <v>-0.297680412371134</v>
      </c>
      <c r="K79" s="12" t="s">
        <v>37</v>
      </c>
      <c r="L79" s="9" t="s">
        <v>38</v>
      </c>
    </row>
    <row r="80" customFormat="false" ht="15" hidden="false" customHeight="false" outlineLevel="0" collapsed="false">
      <c r="A80" s="9" t="s">
        <v>180</v>
      </c>
      <c r="B80" s="9" t="s">
        <v>181</v>
      </c>
      <c r="C80" s="9" t="s">
        <v>140</v>
      </c>
      <c r="D80" s="9" t="s">
        <v>33</v>
      </c>
      <c r="E80" s="10" t="n">
        <v>16.2</v>
      </c>
      <c r="F80" s="9" t="s">
        <v>142</v>
      </c>
      <c r="G80" s="9" t="s">
        <v>44</v>
      </c>
      <c r="H80" s="10" t="n">
        <v>15.52</v>
      </c>
      <c r="I80" s="9" t="s">
        <v>40</v>
      </c>
      <c r="J80" s="11" t="n">
        <f aca="false">(E80-H80)/H80</f>
        <v>0.0438144329896907</v>
      </c>
      <c r="K80" s="12" t="s">
        <v>37</v>
      </c>
      <c r="L80" s="9" t="s">
        <v>38</v>
      </c>
    </row>
    <row r="81" customFormat="false" ht="15" hidden="false" customHeight="false" outlineLevel="0" collapsed="false">
      <c r="A81" s="9" t="s">
        <v>182</v>
      </c>
      <c r="B81" s="9" t="s">
        <v>183</v>
      </c>
      <c r="C81" s="9" t="s">
        <v>140</v>
      </c>
      <c r="D81" s="9" t="s">
        <v>152</v>
      </c>
      <c r="E81" s="10" t="n">
        <v>152.98</v>
      </c>
      <c r="F81" s="9" t="s">
        <v>34</v>
      </c>
      <c r="G81" s="9" t="s">
        <v>35</v>
      </c>
      <c r="H81" s="10" t="n">
        <v>134.99</v>
      </c>
      <c r="I81" s="9" t="s">
        <v>36</v>
      </c>
      <c r="J81" s="11" t="n">
        <f aca="false">(E81-H81)/H81</f>
        <v>0.133269131046744</v>
      </c>
      <c r="K81" s="12" t="s">
        <v>37</v>
      </c>
      <c r="L81" s="9" t="s">
        <v>38</v>
      </c>
    </row>
    <row r="82" customFormat="false" ht="15" hidden="false" customHeight="false" outlineLevel="0" collapsed="false">
      <c r="A82" s="9" t="s">
        <v>184</v>
      </c>
      <c r="B82" s="9" t="s">
        <v>185</v>
      </c>
      <c r="C82" s="9" t="s">
        <v>140</v>
      </c>
      <c r="D82" s="9" t="s">
        <v>43</v>
      </c>
      <c r="E82" s="10" t="n">
        <v>13.48</v>
      </c>
      <c r="F82" s="9" t="s">
        <v>142</v>
      </c>
      <c r="G82" s="9" t="s">
        <v>44</v>
      </c>
      <c r="H82" s="10" t="n">
        <v>13.6</v>
      </c>
      <c r="I82" s="9" t="s">
        <v>40</v>
      </c>
      <c r="J82" s="11" t="n">
        <f aca="false">(E82-H82)/H82</f>
        <v>-0.00882352941176465</v>
      </c>
      <c r="K82" s="12" t="s">
        <v>37</v>
      </c>
      <c r="L82" s="9" t="s">
        <v>38</v>
      </c>
    </row>
    <row r="83" customFormat="false" ht="15" hidden="false" customHeight="false" outlineLevel="0" collapsed="false">
      <c r="A83" s="9" t="s">
        <v>186</v>
      </c>
      <c r="B83" s="9" t="s">
        <v>187</v>
      </c>
      <c r="C83" s="9" t="s">
        <v>140</v>
      </c>
      <c r="D83" s="9" t="s">
        <v>188</v>
      </c>
      <c r="E83" s="10" t="n">
        <v>7.18</v>
      </c>
      <c r="F83" s="9" t="s">
        <v>132</v>
      </c>
      <c r="G83" s="9" t="s">
        <v>44</v>
      </c>
      <c r="H83" s="10" t="n">
        <v>7.98</v>
      </c>
      <c r="I83" s="9" t="s">
        <v>36</v>
      </c>
      <c r="J83" s="11" t="n">
        <f aca="false">(E83-H83)/H83</f>
        <v>-0.100250626566416</v>
      </c>
      <c r="K83" s="12" t="s">
        <v>37</v>
      </c>
      <c r="L83" s="9" t="s">
        <v>38</v>
      </c>
    </row>
    <row r="84" customFormat="false" ht="15" hidden="false" customHeight="false" outlineLevel="0" collapsed="false">
      <c r="A84" s="9" t="s">
        <v>186</v>
      </c>
      <c r="B84" s="9" t="s">
        <v>187</v>
      </c>
      <c r="C84" s="9" t="s">
        <v>140</v>
      </c>
      <c r="D84" s="9" t="s">
        <v>188</v>
      </c>
      <c r="E84" s="10" t="n">
        <v>7.18</v>
      </c>
      <c r="F84" s="9" t="s">
        <v>142</v>
      </c>
      <c r="G84" s="9" t="s">
        <v>89</v>
      </c>
      <c r="H84" s="10" t="n">
        <v>4.86</v>
      </c>
      <c r="I84" s="9" t="s">
        <v>40</v>
      </c>
      <c r="J84" s="11" t="n">
        <f aca="false">(E84-H84)/H84</f>
        <v>0.477366255144033</v>
      </c>
      <c r="K84" s="12" t="s">
        <v>37</v>
      </c>
      <c r="L84" s="9" t="s">
        <v>38</v>
      </c>
    </row>
    <row r="85" customFormat="false" ht="15" hidden="false" customHeight="false" outlineLevel="0" collapsed="false">
      <c r="A85" s="9" t="s">
        <v>189</v>
      </c>
      <c r="B85" s="9" t="s">
        <v>190</v>
      </c>
      <c r="C85" s="9" t="s">
        <v>140</v>
      </c>
      <c r="D85" s="9" t="s">
        <v>188</v>
      </c>
      <c r="E85" s="10" t="n">
        <v>9.45</v>
      </c>
      <c r="F85" s="9" t="s">
        <v>142</v>
      </c>
      <c r="G85" s="9" t="s">
        <v>44</v>
      </c>
      <c r="H85" s="10" t="n">
        <v>6.6</v>
      </c>
      <c r="I85" s="9" t="s">
        <v>40</v>
      </c>
      <c r="J85" s="11" t="n">
        <f aca="false">(E85-H85)/H85</f>
        <v>0.431818181818182</v>
      </c>
      <c r="K85" s="12" t="s">
        <v>37</v>
      </c>
      <c r="L85" s="9" t="s">
        <v>38</v>
      </c>
    </row>
    <row r="86" customFormat="false" ht="15" hidden="false" customHeight="false" outlineLevel="0" collapsed="false">
      <c r="A86" s="9" t="s">
        <v>191</v>
      </c>
      <c r="B86" s="9" t="s">
        <v>192</v>
      </c>
      <c r="C86" s="9" t="s">
        <v>140</v>
      </c>
      <c r="D86" s="9" t="s">
        <v>188</v>
      </c>
      <c r="E86" s="10" t="n">
        <v>8.98</v>
      </c>
      <c r="F86" s="9" t="s">
        <v>142</v>
      </c>
      <c r="G86" s="9" t="s">
        <v>89</v>
      </c>
      <c r="H86" s="10" t="n">
        <v>4.86</v>
      </c>
      <c r="I86" s="9" t="s">
        <v>40</v>
      </c>
      <c r="J86" s="11" t="n">
        <f aca="false">(E86-H86)/H86</f>
        <v>0.847736625514403</v>
      </c>
      <c r="K86" s="12" t="s">
        <v>37</v>
      </c>
      <c r="L86" s="9" t="s">
        <v>38</v>
      </c>
    </row>
    <row r="87" customFormat="false" ht="15" hidden="false" customHeight="false" outlineLevel="0" collapsed="false">
      <c r="A87" s="9" t="s">
        <v>193</v>
      </c>
      <c r="B87" s="9" t="s">
        <v>194</v>
      </c>
      <c r="C87" s="9" t="s">
        <v>140</v>
      </c>
      <c r="D87" s="9" t="s">
        <v>33</v>
      </c>
      <c r="E87" s="10" t="n">
        <v>10.5</v>
      </c>
      <c r="F87" s="9" t="s">
        <v>39</v>
      </c>
      <c r="G87" s="9" t="s">
        <v>44</v>
      </c>
      <c r="H87" s="10" t="n">
        <v>10.25</v>
      </c>
      <c r="I87" s="9" t="s">
        <v>36</v>
      </c>
      <c r="J87" s="11" t="n">
        <f aca="false">(E87-H87)/H87</f>
        <v>0.024390243902439</v>
      </c>
      <c r="K87" s="12" t="s">
        <v>37</v>
      </c>
      <c r="L87" s="9" t="s">
        <v>38</v>
      </c>
    </row>
    <row r="88" customFormat="false" ht="15" hidden="false" customHeight="false" outlineLevel="0" collapsed="false">
      <c r="A88" s="9" t="s">
        <v>193</v>
      </c>
      <c r="B88" s="9" t="s">
        <v>194</v>
      </c>
      <c r="C88" s="9" t="s">
        <v>140</v>
      </c>
      <c r="D88" s="9" t="s">
        <v>33</v>
      </c>
      <c r="E88" s="10" t="n">
        <v>10.5</v>
      </c>
      <c r="F88" s="9" t="s">
        <v>142</v>
      </c>
      <c r="G88" s="9" t="s">
        <v>44</v>
      </c>
      <c r="H88" s="10" t="n">
        <v>10.32</v>
      </c>
      <c r="I88" s="9" t="s">
        <v>40</v>
      </c>
      <c r="J88" s="11" t="n">
        <f aca="false">(E88-H88)/H88</f>
        <v>0.0174418604651163</v>
      </c>
      <c r="K88" s="12" t="s">
        <v>37</v>
      </c>
      <c r="L88" s="9" t="s">
        <v>38</v>
      </c>
    </row>
    <row r="89" customFormat="false" ht="15" hidden="false" customHeight="false" outlineLevel="0" collapsed="false">
      <c r="A89" s="9" t="s">
        <v>195</v>
      </c>
      <c r="B89" s="9" t="s">
        <v>196</v>
      </c>
      <c r="C89" s="9" t="s">
        <v>140</v>
      </c>
      <c r="D89" s="9" t="s">
        <v>51</v>
      </c>
      <c r="E89" s="10" t="n">
        <v>8.98</v>
      </c>
      <c r="F89" s="9" t="s">
        <v>34</v>
      </c>
      <c r="G89" s="9" t="s">
        <v>44</v>
      </c>
      <c r="H89" s="10" t="n">
        <v>7.99</v>
      </c>
      <c r="I89" s="9" t="s">
        <v>36</v>
      </c>
      <c r="J89" s="11" t="n">
        <f aca="false">(E89-H89)/H89</f>
        <v>0.123904881101377</v>
      </c>
      <c r="K89" s="12" t="s">
        <v>37</v>
      </c>
      <c r="L89" s="9" t="s">
        <v>38</v>
      </c>
    </row>
    <row r="90" customFormat="false" ht="15" hidden="false" customHeight="false" outlineLevel="0" collapsed="false">
      <c r="A90" s="9" t="s">
        <v>197</v>
      </c>
      <c r="B90" s="9" t="s">
        <v>198</v>
      </c>
      <c r="C90" s="9" t="s">
        <v>140</v>
      </c>
      <c r="D90" s="9" t="s">
        <v>188</v>
      </c>
      <c r="E90" s="10" t="n">
        <v>6.7</v>
      </c>
      <c r="F90" s="9" t="s">
        <v>132</v>
      </c>
      <c r="G90" s="9" t="s">
        <v>44</v>
      </c>
      <c r="H90" s="10" t="n">
        <v>6.95</v>
      </c>
      <c r="I90" s="9" t="s">
        <v>36</v>
      </c>
      <c r="J90" s="11" t="n">
        <f aca="false">(E90-H90)/H90</f>
        <v>-0.0359712230215827</v>
      </c>
      <c r="K90" s="12" t="s">
        <v>37</v>
      </c>
      <c r="L90" s="9" t="s">
        <v>38</v>
      </c>
    </row>
    <row r="91" customFormat="false" ht="15" hidden="false" customHeight="false" outlineLevel="0" collapsed="false">
      <c r="A91" s="9" t="s">
        <v>199</v>
      </c>
      <c r="B91" s="9" t="s">
        <v>200</v>
      </c>
      <c r="C91" s="9" t="s">
        <v>140</v>
      </c>
      <c r="D91" s="9" t="s">
        <v>188</v>
      </c>
      <c r="E91" s="10" t="n">
        <v>7.1</v>
      </c>
      <c r="F91" s="9" t="s">
        <v>132</v>
      </c>
      <c r="G91" s="9" t="s">
        <v>44</v>
      </c>
      <c r="H91" s="10" t="n">
        <v>7.5</v>
      </c>
      <c r="I91" s="9" t="s">
        <v>36</v>
      </c>
      <c r="J91" s="11" t="n">
        <f aca="false">(E91-H91)/H91</f>
        <v>-0.0533333333333334</v>
      </c>
      <c r="K91" s="12" t="s">
        <v>37</v>
      </c>
      <c r="L91" s="9" t="s">
        <v>38</v>
      </c>
    </row>
    <row r="92" customFormat="false" ht="15" hidden="false" customHeight="false" outlineLevel="0" collapsed="false">
      <c r="A92" s="9" t="s">
        <v>201</v>
      </c>
      <c r="B92" s="9" t="s">
        <v>202</v>
      </c>
      <c r="C92" s="9" t="s">
        <v>140</v>
      </c>
      <c r="D92" s="9" t="s">
        <v>203</v>
      </c>
      <c r="E92" s="10" t="n">
        <v>23.85</v>
      </c>
      <c r="F92" s="9" t="s">
        <v>34</v>
      </c>
      <c r="G92" s="9" t="s">
        <v>35</v>
      </c>
      <c r="H92" s="10" t="n">
        <v>23.8</v>
      </c>
      <c r="I92" s="9" t="s">
        <v>40</v>
      </c>
      <c r="J92" s="11" t="n">
        <f aca="false">(E92-H92)/H92</f>
        <v>0.00210084033613448</v>
      </c>
      <c r="K92" s="12" t="s">
        <v>37</v>
      </c>
      <c r="L92" s="9" t="s">
        <v>38</v>
      </c>
    </row>
    <row r="93" customFormat="false" ht="15" hidden="false" customHeight="false" outlineLevel="0" collapsed="false">
      <c r="A93" s="9" t="s">
        <v>204</v>
      </c>
      <c r="B93" s="9" t="s">
        <v>205</v>
      </c>
      <c r="C93" s="9" t="s">
        <v>140</v>
      </c>
      <c r="D93" s="9" t="s">
        <v>43</v>
      </c>
      <c r="E93" s="10" t="n">
        <v>7.5</v>
      </c>
      <c r="F93" s="9" t="s">
        <v>34</v>
      </c>
      <c r="G93" s="9" t="s">
        <v>35</v>
      </c>
      <c r="H93" s="10" t="n">
        <v>5.44</v>
      </c>
      <c r="I93" s="9" t="s">
        <v>36</v>
      </c>
      <c r="J93" s="11" t="n">
        <f aca="false">(E93-H93)/H93</f>
        <v>0.378676470588235</v>
      </c>
      <c r="K93" s="12" t="s">
        <v>37</v>
      </c>
      <c r="L93" s="9" t="s">
        <v>38</v>
      </c>
    </row>
    <row r="94" customFormat="false" ht="15" hidden="false" customHeight="false" outlineLevel="0" collapsed="false">
      <c r="A94" s="9" t="s">
        <v>204</v>
      </c>
      <c r="B94" s="9" t="s">
        <v>205</v>
      </c>
      <c r="C94" s="9" t="s">
        <v>140</v>
      </c>
      <c r="D94" s="9" t="s">
        <v>43</v>
      </c>
      <c r="E94" s="10" t="n">
        <v>7.5</v>
      </c>
      <c r="F94" s="9" t="s">
        <v>39</v>
      </c>
      <c r="G94" s="9" t="s">
        <v>35</v>
      </c>
      <c r="H94" s="10" t="n">
        <v>3.96</v>
      </c>
      <c r="I94" s="9" t="s">
        <v>40</v>
      </c>
      <c r="J94" s="11" t="n">
        <f aca="false">(E94-H94)/H94</f>
        <v>0.893939393939394</v>
      </c>
      <c r="K94" s="12" t="s">
        <v>37</v>
      </c>
      <c r="L94" s="9" t="s">
        <v>38</v>
      </c>
    </row>
    <row r="95" customFormat="false" ht="15" hidden="false" customHeight="false" outlineLevel="0" collapsed="false">
      <c r="A95" s="9" t="s">
        <v>204</v>
      </c>
      <c r="B95" s="9" t="s">
        <v>205</v>
      </c>
      <c r="C95" s="9" t="s">
        <v>140</v>
      </c>
      <c r="D95" s="9" t="s">
        <v>43</v>
      </c>
      <c r="E95" s="10" t="n">
        <v>7.5</v>
      </c>
      <c r="F95" s="9" t="s">
        <v>142</v>
      </c>
      <c r="G95" s="9" t="s">
        <v>35</v>
      </c>
      <c r="H95" s="10" t="n">
        <v>13.2</v>
      </c>
      <c r="I95" s="9" t="s">
        <v>40</v>
      </c>
      <c r="J95" s="11" t="n">
        <f aca="false">(E95-H95)/H95</f>
        <v>-0.431818181818182</v>
      </c>
      <c r="K95" s="12" t="s">
        <v>37</v>
      </c>
      <c r="L95" s="9" t="s">
        <v>38</v>
      </c>
    </row>
    <row r="96" customFormat="false" ht="15" hidden="false" customHeight="false" outlineLevel="0" collapsed="false">
      <c r="A96" s="9" t="s">
        <v>206</v>
      </c>
      <c r="B96" s="9" t="s">
        <v>207</v>
      </c>
      <c r="C96" s="9" t="s">
        <v>140</v>
      </c>
      <c r="D96" s="9" t="s">
        <v>141</v>
      </c>
      <c r="E96" s="10" t="n">
        <v>7.2</v>
      </c>
      <c r="F96" s="9" t="s">
        <v>34</v>
      </c>
      <c r="G96" s="9" t="s">
        <v>35</v>
      </c>
      <c r="H96" s="10" t="n">
        <v>8.09</v>
      </c>
      <c r="I96" s="9" t="s">
        <v>36</v>
      </c>
      <c r="J96" s="11" t="n">
        <f aca="false">(E96-H96)/H96</f>
        <v>-0.110012360939431</v>
      </c>
      <c r="K96" s="12" t="s">
        <v>37</v>
      </c>
      <c r="L96" s="9" t="s">
        <v>38</v>
      </c>
    </row>
    <row r="97" customFormat="false" ht="15" hidden="false" customHeight="false" outlineLevel="0" collapsed="false">
      <c r="A97" s="9" t="s">
        <v>206</v>
      </c>
      <c r="B97" s="9" t="s">
        <v>207</v>
      </c>
      <c r="C97" s="9" t="s">
        <v>140</v>
      </c>
      <c r="D97" s="9" t="s">
        <v>141</v>
      </c>
      <c r="E97" s="10" t="n">
        <v>7.2</v>
      </c>
      <c r="F97" s="9" t="s">
        <v>39</v>
      </c>
      <c r="G97" s="9" t="s">
        <v>35</v>
      </c>
      <c r="H97" s="10" t="n">
        <v>3.49</v>
      </c>
      <c r="I97" s="9" t="s">
        <v>40</v>
      </c>
      <c r="J97" s="11" t="n">
        <f aca="false">(E97-H97)/H97</f>
        <v>1.06303724928367</v>
      </c>
      <c r="K97" s="12" t="s">
        <v>37</v>
      </c>
      <c r="L97" s="9" t="s">
        <v>38</v>
      </c>
    </row>
    <row r="98" customFormat="false" ht="15" hidden="false" customHeight="false" outlineLevel="0" collapsed="false">
      <c r="A98" s="9" t="s">
        <v>208</v>
      </c>
      <c r="B98" s="9" t="s">
        <v>209</v>
      </c>
      <c r="C98" s="9" t="s">
        <v>140</v>
      </c>
      <c r="D98" s="9" t="s">
        <v>43</v>
      </c>
      <c r="E98" s="10" t="n">
        <v>7.5</v>
      </c>
      <c r="F98" s="9" t="s">
        <v>132</v>
      </c>
      <c r="G98" s="9" t="s">
        <v>44</v>
      </c>
      <c r="H98" s="10" t="n">
        <v>6.5</v>
      </c>
      <c r="I98" s="9" t="s">
        <v>36</v>
      </c>
      <c r="J98" s="11" t="n">
        <f aca="false">(E98-H98)/H98</f>
        <v>0.153846153846154</v>
      </c>
      <c r="K98" s="12" t="s">
        <v>37</v>
      </c>
      <c r="L98" s="9" t="s">
        <v>38</v>
      </c>
    </row>
    <row r="99" customFormat="false" ht="15" hidden="false" customHeight="false" outlineLevel="0" collapsed="false">
      <c r="A99" s="9" t="s">
        <v>208</v>
      </c>
      <c r="B99" s="9" t="s">
        <v>209</v>
      </c>
      <c r="C99" s="9" t="s">
        <v>140</v>
      </c>
      <c r="D99" s="9" t="s">
        <v>43</v>
      </c>
      <c r="E99" s="10" t="n">
        <v>7.5</v>
      </c>
      <c r="F99" s="9" t="s">
        <v>142</v>
      </c>
      <c r="G99" s="9" t="s">
        <v>44</v>
      </c>
      <c r="H99" s="10" t="n">
        <v>7.19</v>
      </c>
      <c r="I99" s="9" t="s">
        <v>40</v>
      </c>
      <c r="J99" s="11" t="n">
        <f aca="false">(E99-H99)/H99</f>
        <v>0.043115438108484</v>
      </c>
      <c r="K99" s="12" t="s">
        <v>37</v>
      </c>
      <c r="L99" s="9" t="s">
        <v>38</v>
      </c>
    </row>
    <row r="100" customFormat="false" ht="15" hidden="false" customHeight="false" outlineLevel="0" collapsed="false">
      <c r="A100" s="9" t="s">
        <v>210</v>
      </c>
      <c r="B100" s="9" t="s">
        <v>211</v>
      </c>
      <c r="C100" s="9" t="s">
        <v>140</v>
      </c>
      <c r="D100" s="9" t="s">
        <v>43</v>
      </c>
      <c r="E100" s="10" t="n">
        <v>7.5</v>
      </c>
      <c r="F100" s="9" t="s">
        <v>142</v>
      </c>
      <c r="G100" s="9" t="s">
        <v>44</v>
      </c>
      <c r="H100" s="10" t="n">
        <v>5.1</v>
      </c>
      <c r="I100" s="9" t="s">
        <v>40</v>
      </c>
      <c r="J100" s="11" t="n">
        <f aca="false">(E100-H100)/H100</f>
        <v>0.470588235294118</v>
      </c>
      <c r="K100" s="12" t="s">
        <v>37</v>
      </c>
      <c r="L100" s="9" t="s">
        <v>38</v>
      </c>
    </row>
    <row r="101" customFormat="false" ht="15" hidden="false" customHeight="false" outlineLevel="0" collapsed="false">
      <c r="A101" s="9" t="s">
        <v>212</v>
      </c>
      <c r="B101" s="9" t="s">
        <v>213</v>
      </c>
      <c r="C101" s="9" t="s">
        <v>140</v>
      </c>
      <c r="D101" s="9" t="s">
        <v>214</v>
      </c>
      <c r="E101" s="10" t="n">
        <v>11.35</v>
      </c>
      <c r="F101" s="9" t="s">
        <v>34</v>
      </c>
      <c r="G101" s="9" t="s">
        <v>35</v>
      </c>
      <c r="H101" s="10" t="n">
        <v>11.1</v>
      </c>
      <c r="I101" s="9" t="s">
        <v>36</v>
      </c>
      <c r="J101" s="11" t="n">
        <f aca="false">(E101-H101)/H101</f>
        <v>0.0225225225225225</v>
      </c>
      <c r="K101" s="12" t="s">
        <v>37</v>
      </c>
      <c r="L101" s="9" t="s">
        <v>38</v>
      </c>
    </row>
    <row r="102" customFormat="false" ht="15" hidden="false" customHeight="false" outlineLevel="0" collapsed="false">
      <c r="A102" s="9" t="s">
        <v>212</v>
      </c>
      <c r="B102" s="9" t="s">
        <v>213</v>
      </c>
      <c r="C102" s="9" t="s">
        <v>140</v>
      </c>
      <c r="D102" s="9" t="s">
        <v>214</v>
      </c>
      <c r="E102" s="10" t="n">
        <v>11.35</v>
      </c>
      <c r="F102" s="9" t="s">
        <v>39</v>
      </c>
      <c r="G102" s="9" t="s">
        <v>35</v>
      </c>
      <c r="H102" s="10" t="n">
        <v>12.38</v>
      </c>
      <c r="I102" s="9" t="s">
        <v>36</v>
      </c>
      <c r="J102" s="11" t="n">
        <f aca="false">(E102-H102)/H102</f>
        <v>-0.0831987075928918</v>
      </c>
      <c r="K102" s="12" t="s">
        <v>37</v>
      </c>
      <c r="L102" s="9" t="s">
        <v>38</v>
      </c>
    </row>
    <row r="103" customFormat="false" ht="15" hidden="false" customHeight="false" outlineLevel="0" collapsed="false">
      <c r="A103" s="9" t="s">
        <v>212</v>
      </c>
      <c r="B103" s="9" t="s">
        <v>213</v>
      </c>
      <c r="C103" s="9" t="s">
        <v>140</v>
      </c>
      <c r="D103" s="9" t="s">
        <v>214</v>
      </c>
      <c r="E103" s="10" t="n">
        <v>11.35</v>
      </c>
      <c r="F103" s="9" t="s">
        <v>142</v>
      </c>
      <c r="G103" s="9" t="s">
        <v>35</v>
      </c>
      <c r="H103" s="10" t="n">
        <v>11.18</v>
      </c>
      <c r="I103" s="9" t="s">
        <v>36</v>
      </c>
      <c r="J103" s="11" t="n">
        <f aca="false">(E103-H103)/H103</f>
        <v>0.0152057245080501</v>
      </c>
      <c r="K103" s="12" t="s">
        <v>37</v>
      </c>
      <c r="L103" s="9" t="s">
        <v>38</v>
      </c>
    </row>
    <row r="104" customFormat="false" ht="15" hidden="false" customHeight="false" outlineLevel="0" collapsed="false">
      <c r="A104" s="9" t="s">
        <v>215</v>
      </c>
      <c r="B104" s="9" t="s">
        <v>216</v>
      </c>
      <c r="C104" s="9" t="s">
        <v>140</v>
      </c>
      <c r="D104" s="9" t="s">
        <v>51</v>
      </c>
      <c r="E104" s="10" t="n">
        <v>2.98</v>
      </c>
      <c r="F104" s="9" t="s">
        <v>34</v>
      </c>
      <c r="G104" s="9" t="s">
        <v>35</v>
      </c>
      <c r="H104" s="10" t="n">
        <v>2.85</v>
      </c>
      <c r="I104" s="9" t="s">
        <v>36</v>
      </c>
      <c r="J104" s="11" t="n">
        <f aca="false">(E104-H104)/H104</f>
        <v>0.0456140350877193</v>
      </c>
      <c r="K104" s="12" t="s">
        <v>37</v>
      </c>
      <c r="L104" s="9" t="s">
        <v>38</v>
      </c>
    </row>
    <row r="105" customFormat="false" ht="15" hidden="false" customHeight="false" outlineLevel="0" collapsed="false">
      <c r="A105" s="9" t="s">
        <v>217</v>
      </c>
      <c r="B105" s="9" t="s">
        <v>218</v>
      </c>
      <c r="C105" s="9" t="s">
        <v>140</v>
      </c>
      <c r="D105" s="9" t="s">
        <v>43</v>
      </c>
      <c r="E105" s="10" t="n">
        <v>7.1</v>
      </c>
      <c r="F105" s="9" t="s">
        <v>34</v>
      </c>
      <c r="G105" s="9" t="s">
        <v>35</v>
      </c>
      <c r="H105" s="10" t="n">
        <v>6.49</v>
      </c>
      <c r="I105" s="9" t="s">
        <v>36</v>
      </c>
      <c r="J105" s="11" t="n">
        <f aca="false">(E105-H105)/H105</f>
        <v>0.0939907550077041</v>
      </c>
      <c r="K105" s="12" t="s">
        <v>37</v>
      </c>
      <c r="L105" s="9" t="s">
        <v>38</v>
      </c>
    </row>
    <row r="106" customFormat="false" ht="15" hidden="false" customHeight="false" outlineLevel="0" collapsed="false">
      <c r="A106" s="9" t="s">
        <v>217</v>
      </c>
      <c r="B106" s="9" t="s">
        <v>218</v>
      </c>
      <c r="C106" s="9" t="s">
        <v>140</v>
      </c>
      <c r="D106" s="9" t="s">
        <v>43</v>
      </c>
      <c r="E106" s="10" t="n">
        <v>7.1</v>
      </c>
      <c r="F106" s="9" t="s">
        <v>142</v>
      </c>
      <c r="G106" s="9" t="s">
        <v>35</v>
      </c>
      <c r="H106" s="10" t="n">
        <v>6.72</v>
      </c>
      <c r="I106" s="9" t="s">
        <v>40</v>
      </c>
      <c r="J106" s="11" t="n">
        <f aca="false">(E106-H106)/H106</f>
        <v>0.056547619047619</v>
      </c>
      <c r="K106" s="12" t="s">
        <v>37</v>
      </c>
      <c r="L106" s="9" t="s">
        <v>38</v>
      </c>
    </row>
    <row r="107" customFormat="false" ht="15" hidden="false" customHeight="false" outlineLevel="0" collapsed="false">
      <c r="A107" s="9" t="s">
        <v>219</v>
      </c>
      <c r="B107" s="9" t="s">
        <v>220</v>
      </c>
      <c r="C107" s="9" t="s">
        <v>140</v>
      </c>
      <c r="D107" s="9" t="s">
        <v>43</v>
      </c>
      <c r="E107" s="10" t="n">
        <v>7.15</v>
      </c>
      <c r="F107" s="9" t="s">
        <v>142</v>
      </c>
      <c r="G107" s="9" t="s">
        <v>44</v>
      </c>
      <c r="H107" s="10" t="n">
        <v>6.4</v>
      </c>
      <c r="I107" s="9" t="s">
        <v>40</v>
      </c>
      <c r="J107" s="11" t="n">
        <f aca="false">(E107-H107)/H107</f>
        <v>0.1171875</v>
      </c>
      <c r="K107" s="12" t="s">
        <v>37</v>
      </c>
      <c r="L107" s="9" t="s">
        <v>38</v>
      </c>
    </row>
    <row r="108" customFormat="false" ht="15" hidden="false" customHeight="false" outlineLevel="0" collapsed="false">
      <c r="A108" s="9" t="s">
        <v>221</v>
      </c>
      <c r="B108" s="9" t="s">
        <v>222</v>
      </c>
      <c r="C108" s="9" t="s">
        <v>140</v>
      </c>
      <c r="D108" s="9" t="s">
        <v>43</v>
      </c>
      <c r="E108" s="10" t="n">
        <v>15.2</v>
      </c>
      <c r="F108" s="9" t="s">
        <v>34</v>
      </c>
      <c r="G108" s="9" t="s">
        <v>35</v>
      </c>
      <c r="H108" s="10" t="n">
        <v>13.49</v>
      </c>
      <c r="I108" s="9" t="s">
        <v>36</v>
      </c>
      <c r="J108" s="11" t="n">
        <f aca="false">(E108-H108)/H108</f>
        <v>0.126760563380282</v>
      </c>
      <c r="K108" s="12" t="s">
        <v>37</v>
      </c>
      <c r="L108" s="9" t="s">
        <v>38</v>
      </c>
    </row>
    <row r="109" customFormat="false" ht="15" hidden="false" customHeight="false" outlineLevel="0" collapsed="false">
      <c r="A109" s="9" t="s">
        <v>223</v>
      </c>
      <c r="B109" s="9" t="s">
        <v>224</v>
      </c>
      <c r="C109" s="9" t="s">
        <v>140</v>
      </c>
      <c r="D109" s="9" t="s">
        <v>225</v>
      </c>
      <c r="E109" s="10" t="n">
        <v>17.1</v>
      </c>
      <c r="F109" s="9" t="s">
        <v>34</v>
      </c>
      <c r="G109" s="9" t="s">
        <v>44</v>
      </c>
      <c r="H109" s="10" t="n">
        <v>15.39</v>
      </c>
      <c r="I109" s="9" t="s">
        <v>36</v>
      </c>
      <c r="J109" s="11" t="n">
        <f aca="false">(E109-H109)/H109</f>
        <v>0.111111111111111</v>
      </c>
      <c r="K109" s="12" t="s">
        <v>37</v>
      </c>
      <c r="L109" s="9" t="s">
        <v>38</v>
      </c>
    </row>
    <row r="110" customFormat="false" ht="15" hidden="false" customHeight="false" outlineLevel="0" collapsed="false">
      <c r="A110" s="9" t="s">
        <v>226</v>
      </c>
      <c r="B110" s="9" t="s">
        <v>227</v>
      </c>
      <c r="C110" s="9" t="s">
        <v>140</v>
      </c>
      <c r="D110" s="9" t="s">
        <v>228</v>
      </c>
      <c r="E110" s="10" t="n">
        <v>13.98</v>
      </c>
      <c r="F110" s="9" t="s">
        <v>34</v>
      </c>
      <c r="G110" s="9" t="s">
        <v>35</v>
      </c>
      <c r="H110" s="10" t="n">
        <v>27.99</v>
      </c>
      <c r="I110" s="9" t="s">
        <v>36</v>
      </c>
      <c r="J110" s="11" t="n">
        <f aca="false">(E110-H110)/H110</f>
        <v>-0.5005359056806</v>
      </c>
      <c r="K110" s="12" t="s">
        <v>37</v>
      </c>
      <c r="L110" s="9" t="s">
        <v>38</v>
      </c>
    </row>
    <row r="111" customFormat="false" ht="15" hidden="false" customHeight="false" outlineLevel="0" collapsed="false">
      <c r="A111" s="9" t="s">
        <v>226</v>
      </c>
      <c r="B111" s="9" t="s">
        <v>227</v>
      </c>
      <c r="C111" s="9" t="s">
        <v>140</v>
      </c>
      <c r="D111" s="9" t="s">
        <v>228</v>
      </c>
      <c r="E111" s="10" t="n">
        <v>13.98</v>
      </c>
      <c r="F111" s="9" t="s">
        <v>229</v>
      </c>
      <c r="G111" s="9" t="s">
        <v>35</v>
      </c>
      <c r="H111" s="10" t="n">
        <v>20.1</v>
      </c>
      <c r="I111" s="9" t="s">
        <v>36</v>
      </c>
      <c r="J111" s="11" t="n">
        <f aca="false">(E111-H111)/H111</f>
        <v>-0.304477611940299</v>
      </c>
      <c r="K111" s="12" t="s">
        <v>37</v>
      </c>
      <c r="L111" s="9" t="s">
        <v>38</v>
      </c>
    </row>
    <row r="112" customFormat="false" ht="15" hidden="false" customHeight="false" outlineLevel="0" collapsed="false">
      <c r="A112" s="9" t="s">
        <v>230</v>
      </c>
      <c r="B112" s="9" t="s">
        <v>231</v>
      </c>
      <c r="C112" s="9" t="s">
        <v>232</v>
      </c>
      <c r="D112" s="9" t="s">
        <v>233</v>
      </c>
      <c r="E112" s="10" t="n">
        <v>5.18</v>
      </c>
      <c r="F112" s="9" t="s">
        <v>34</v>
      </c>
      <c r="G112" s="9" t="s">
        <v>35</v>
      </c>
      <c r="H112" s="10" t="n">
        <v>5.49</v>
      </c>
      <c r="I112" s="9" t="s">
        <v>40</v>
      </c>
      <c r="J112" s="11" t="n">
        <f aca="false">(E112-H112)/H112</f>
        <v>-0.0564663023679418</v>
      </c>
      <c r="K112" s="12" t="s">
        <v>37</v>
      </c>
      <c r="L112" s="9" t="s">
        <v>38</v>
      </c>
    </row>
    <row r="113" customFormat="false" ht="15" hidden="false" customHeight="false" outlineLevel="0" collapsed="false">
      <c r="A113" s="9" t="s">
        <v>234</v>
      </c>
      <c r="B113" s="9" t="s">
        <v>235</v>
      </c>
      <c r="C113" s="9" t="s">
        <v>232</v>
      </c>
      <c r="D113" s="9" t="s">
        <v>236</v>
      </c>
      <c r="E113" s="10" t="n">
        <v>7.2</v>
      </c>
      <c r="F113" s="9" t="s">
        <v>34</v>
      </c>
      <c r="G113" s="9" t="s">
        <v>35</v>
      </c>
      <c r="H113" s="10" t="n">
        <v>6.33</v>
      </c>
      <c r="I113" s="9" t="s">
        <v>36</v>
      </c>
      <c r="J113" s="11" t="n">
        <f aca="false">(E113-H113)/H113</f>
        <v>0.137440758293839</v>
      </c>
      <c r="K113" s="12" t="s">
        <v>37</v>
      </c>
      <c r="L113" s="9" t="s">
        <v>38</v>
      </c>
    </row>
    <row r="114" customFormat="false" ht="15" hidden="false" customHeight="false" outlineLevel="0" collapsed="false">
      <c r="A114" s="9" t="s">
        <v>237</v>
      </c>
      <c r="B114" s="9" t="s">
        <v>238</v>
      </c>
      <c r="C114" s="9" t="s">
        <v>232</v>
      </c>
      <c r="D114" s="9" t="s">
        <v>239</v>
      </c>
      <c r="E114" s="10" t="n">
        <v>6.5</v>
      </c>
      <c r="F114" s="9" t="s">
        <v>34</v>
      </c>
      <c r="G114" s="9" t="s">
        <v>35</v>
      </c>
      <c r="H114" s="10" t="n">
        <v>3.99</v>
      </c>
      <c r="I114" s="9" t="s">
        <v>36</v>
      </c>
      <c r="J114" s="11" t="n">
        <f aca="false">(E114-H114)/H114</f>
        <v>0.629072681704261</v>
      </c>
      <c r="K114" s="12" t="s">
        <v>37</v>
      </c>
      <c r="L114" s="9" t="s">
        <v>38</v>
      </c>
    </row>
    <row r="115" customFormat="false" ht="15" hidden="false" customHeight="false" outlineLevel="0" collapsed="false">
      <c r="A115" s="9" t="s">
        <v>240</v>
      </c>
      <c r="B115" s="9" t="s">
        <v>241</v>
      </c>
      <c r="C115" s="9" t="s">
        <v>232</v>
      </c>
      <c r="D115" s="9" t="s">
        <v>242</v>
      </c>
      <c r="E115" s="10" t="n">
        <v>5.35</v>
      </c>
      <c r="F115" s="9" t="s">
        <v>132</v>
      </c>
      <c r="G115" s="9" t="s">
        <v>35</v>
      </c>
      <c r="H115" s="10" t="n">
        <v>5.4</v>
      </c>
      <c r="I115" s="9" t="s">
        <v>36</v>
      </c>
      <c r="J115" s="11" t="n">
        <f aca="false">(E115-H115)/H115</f>
        <v>-0.00925925925925939</v>
      </c>
      <c r="K115" s="12" t="s">
        <v>37</v>
      </c>
      <c r="L115" s="9" t="s">
        <v>38</v>
      </c>
    </row>
    <row r="116" customFormat="false" ht="15" hidden="false" customHeight="false" outlineLevel="0" collapsed="false">
      <c r="A116" s="9" t="s">
        <v>243</v>
      </c>
      <c r="B116" s="9" t="s">
        <v>244</v>
      </c>
      <c r="C116" s="9" t="s">
        <v>232</v>
      </c>
      <c r="D116" s="9" t="s">
        <v>242</v>
      </c>
      <c r="E116" s="10" t="n">
        <v>8.55</v>
      </c>
      <c r="F116" s="9" t="s">
        <v>34</v>
      </c>
      <c r="G116" s="9" t="s">
        <v>35</v>
      </c>
      <c r="H116" s="10" t="n">
        <v>6.78</v>
      </c>
      <c r="I116" s="9" t="s">
        <v>36</v>
      </c>
      <c r="J116" s="11" t="n">
        <f aca="false">(E116-H116)/H116</f>
        <v>0.261061946902655</v>
      </c>
      <c r="K116" s="12" t="s">
        <v>37</v>
      </c>
      <c r="L116" s="9" t="s">
        <v>38</v>
      </c>
    </row>
    <row r="117" customFormat="false" ht="15" hidden="false" customHeight="false" outlineLevel="0" collapsed="false">
      <c r="A117" s="9" t="s">
        <v>245</v>
      </c>
      <c r="B117" s="9" t="s">
        <v>246</v>
      </c>
      <c r="C117" s="9" t="s">
        <v>232</v>
      </c>
      <c r="D117" s="9" t="s">
        <v>236</v>
      </c>
      <c r="E117" s="10" t="n">
        <v>7.5</v>
      </c>
      <c r="F117" s="9" t="s">
        <v>34</v>
      </c>
      <c r="G117" s="9" t="s">
        <v>35</v>
      </c>
      <c r="H117" s="10" t="n">
        <v>7.65</v>
      </c>
      <c r="I117" s="9" t="s">
        <v>40</v>
      </c>
      <c r="J117" s="11" t="n">
        <f aca="false">(E117-H117)/H117</f>
        <v>-0.0196078431372549</v>
      </c>
      <c r="K117" s="12" t="s">
        <v>37</v>
      </c>
      <c r="L117" s="9" t="s">
        <v>38</v>
      </c>
    </row>
    <row r="118" customFormat="false" ht="15" hidden="false" customHeight="false" outlineLevel="0" collapsed="false">
      <c r="A118" s="9" t="s">
        <v>247</v>
      </c>
      <c r="B118" s="9" t="s">
        <v>248</v>
      </c>
      <c r="C118" s="9" t="s">
        <v>232</v>
      </c>
      <c r="D118" s="9" t="s">
        <v>236</v>
      </c>
      <c r="E118" s="10" t="n">
        <v>7.99</v>
      </c>
      <c r="F118" s="9" t="s">
        <v>34</v>
      </c>
      <c r="G118" s="9" t="s">
        <v>35</v>
      </c>
      <c r="H118" s="10" t="n">
        <v>6.09</v>
      </c>
      <c r="I118" s="9" t="s">
        <v>36</v>
      </c>
      <c r="J118" s="11" t="n">
        <f aca="false">(E118-H118)/H118</f>
        <v>0.311986863711002</v>
      </c>
      <c r="K118" s="12" t="s">
        <v>37</v>
      </c>
      <c r="L118" s="9" t="s">
        <v>38</v>
      </c>
    </row>
    <row r="119" customFormat="false" ht="15" hidden="false" customHeight="false" outlineLevel="0" collapsed="false">
      <c r="A119" s="9" t="s">
        <v>249</v>
      </c>
      <c r="B119" s="9" t="s">
        <v>250</v>
      </c>
      <c r="C119" s="9" t="s">
        <v>232</v>
      </c>
      <c r="D119" s="9" t="s">
        <v>43</v>
      </c>
      <c r="E119" s="10" t="n">
        <v>6.9</v>
      </c>
      <c r="F119" s="9" t="s">
        <v>34</v>
      </c>
      <c r="G119" s="9" t="s">
        <v>35</v>
      </c>
      <c r="H119" s="10" t="n">
        <v>6.4</v>
      </c>
      <c r="I119" s="9" t="s">
        <v>36</v>
      </c>
      <c r="J119" s="11" t="n">
        <f aca="false">(E119-H119)/H119</f>
        <v>0.078125</v>
      </c>
      <c r="K119" s="12" t="s">
        <v>37</v>
      </c>
      <c r="L119" s="9" t="s">
        <v>38</v>
      </c>
    </row>
    <row r="120" customFormat="false" ht="15" hidden="false" customHeight="false" outlineLevel="0" collapsed="false">
      <c r="A120" s="9" t="s">
        <v>251</v>
      </c>
      <c r="B120" s="9" t="s">
        <v>252</v>
      </c>
      <c r="C120" s="9" t="s">
        <v>232</v>
      </c>
      <c r="D120" s="9" t="s">
        <v>242</v>
      </c>
      <c r="E120" s="10" t="n">
        <v>9</v>
      </c>
      <c r="F120" s="9" t="s">
        <v>34</v>
      </c>
      <c r="G120" s="9" t="s">
        <v>35</v>
      </c>
      <c r="H120" s="10" t="n">
        <v>7.79</v>
      </c>
      <c r="I120" s="9" t="s">
        <v>36</v>
      </c>
      <c r="J120" s="11" t="n">
        <f aca="false">(E120-H120)/H120</f>
        <v>0.155327342747112</v>
      </c>
      <c r="K120" s="12" t="s">
        <v>37</v>
      </c>
      <c r="L120" s="9" t="s">
        <v>38</v>
      </c>
    </row>
    <row r="121" customFormat="false" ht="15" hidden="false" customHeight="false" outlineLevel="0" collapsed="false">
      <c r="A121" s="9" t="s">
        <v>253</v>
      </c>
      <c r="B121" s="9" t="s">
        <v>254</v>
      </c>
      <c r="C121" s="9" t="s">
        <v>232</v>
      </c>
      <c r="D121" s="9" t="s">
        <v>242</v>
      </c>
      <c r="E121" s="10" t="n">
        <v>6.3</v>
      </c>
      <c r="F121" s="9" t="s">
        <v>34</v>
      </c>
      <c r="G121" s="9" t="s">
        <v>35</v>
      </c>
      <c r="H121" s="10" t="n">
        <v>7.79</v>
      </c>
      <c r="I121" s="9" t="s">
        <v>36</v>
      </c>
      <c r="J121" s="11" t="n">
        <f aca="false">(E121-H121)/H121</f>
        <v>-0.191270860077022</v>
      </c>
      <c r="K121" s="12" t="s">
        <v>37</v>
      </c>
      <c r="L121" s="9" t="s">
        <v>38</v>
      </c>
    </row>
    <row r="122" customFormat="false" ht="15" hidden="false" customHeight="false" outlineLevel="0" collapsed="false">
      <c r="A122" s="9" t="s">
        <v>255</v>
      </c>
      <c r="B122" s="9" t="s">
        <v>256</v>
      </c>
      <c r="C122" s="9" t="s">
        <v>257</v>
      </c>
      <c r="D122" s="9" t="s">
        <v>43</v>
      </c>
      <c r="E122" s="10" t="n">
        <v>4.99</v>
      </c>
      <c r="F122" s="9" t="s">
        <v>34</v>
      </c>
      <c r="G122" s="9" t="s">
        <v>35</v>
      </c>
      <c r="H122" s="10" t="n">
        <v>4.99</v>
      </c>
      <c r="I122" s="9" t="s">
        <v>36</v>
      </c>
      <c r="J122" s="11" t="n">
        <f aca="false">(E122-H122)/H122</f>
        <v>0</v>
      </c>
      <c r="K122" s="12" t="s">
        <v>37</v>
      </c>
      <c r="L122" s="9" t="s">
        <v>38</v>
      </c>
    </row>
    <row r="123" customFormat="false" ht="15" hidden="false" customHeight="false" outlineLevel="0" collapsed="false">
      <c r="A123" s="9" t="s">
        <v>258</v>
      </c>
      <c r="B123" s="9" t="s">
        <v>259</v>
      </c>
      <c r="C123" s="9" t="s">
        <v>257</v>
      </c>
      <c r="D123" s="9" t="s">
        <v>43</v>
      </c>
      <c r="E123" s="10" t="n">
        <v>13.99</v>
      </c>
      <c r="F123" s="9" t="s">
        <v>34</v>
      </c>
      <c r="G123" s="9" t="s">
        <v>35</v>
      </c>
      <c r="H123" s="10" t="n">
        <v>13.49</v>
      </c>
      <c r="I123" s="9" t="s">
        <v>36</v>
      </c>
      <c r="J123" s="11" t="n">
        <f aca="false">(E123-H123)/H123</f>
        <v>0.0370644922164566</v>
      </c>
      <c r="K123" s="12" t="s">
        <v>37</v>
      </c>
      <c r="L123" s="9" t="s">
        <v>38</v>
      </c>
    </row>
    <row r="124" customFormat="false" ht="15" hidden="false" customHeight="false" outlineLevel="0" collapsed="false">
      <c r="A124" s="9" t="s">
        <v>260</v>
      </c>
      <c r="B124" s="9" t="s">
        <v>261</v>
      </c>
      <c r="C124" s="9" t="s">
        <v>257</v>
      </c>
      <c r="D124" s="9" t="s">
        <v>43</v>
      </c>
      <c r="E124" s="10" t="n">
        <v>5.5</v>
      </c>
      <c r="F124" s="9" t="s">
        <v>34</v>
      </c>
      <c r="G124" s="9" t="s">
        <v>35</v>
      </c>
      <c r="H124" s="10" t="n">
        <v>6.49</v>
      </c>
      <c r="I124" s="9" t="s">
        <v>36</v>
      </c>
      <c r="J124" s="11" t="n">
        <f aca="false">(E124-H124)/H124</f>
        <v>-0.152542372881356</v>
      </c>
      <c r="K124" s="12" t="s">
        <v>37</v>
      </c>
      <c r="L124" s="9" t="s">
        <v>38</v>
      </c>
    </row>
    <row r="125" customFormat="false" ht="15" hidden="false" customHeight="false" outlineLevel="0" collapsed="false">
      <c r="A125" s="9" t="s">
        <v>262</v>
      </c>
      <c r="B125" s="9" t="s">
        <v>263</v>
      </c>
      <c r="C125" s="9" t="s">
        <v>257</v>
      </c>
      <c r="D125" s="9" t="s">
        <v>43</v>
      </c>
      <c r="E125" s="10" t="n">
        <v>3.79</v>
      </c>
      <c r="F125" s="9" t="s">
        <v>34</v>
      </c>
      <c r="G125" s="9" t="s">
        <v>35</v>
      </c>
      <c r="H125" s="10" t="n">
        <v>3.99</v>
      </c>
      <c r="I125" s="9" t="s">
        <v>36</v>
      </c>
      <c r="J125" s="11" t="n">
        <f aca="false">(E125-H125)/H125</f>
        <v>-0.0501253132832081</v>
      </c>
      <c r="K125" s="12" t="s">
        <v>37</v>
      </c>
      <c r="L125" s="9" t="s">
        <v>38</v>
      </c>
    </row>
    <row r="126" customFormat="false" ht="15" hidden="false" customHeight="false" outlineLevel="0" collapsed="false">
      <c r="A126" s="9" t="s">
        <v>264</v>
      </c>
      <c r="B126" s="9" t="s">
        <v>265</v>
      </c>
      <c r="C126" s="9" t="s">
        <v>266</v>
      </c>
      <c r="D126" s="9" t="s">
        <v>33</v>
      </c>
      <c r="E126" s="10" t="n">
        <v>59.9</v>
      </c>
      <c r="F126" s="9" t="s">
        <v>132</v>
      </c>
      <c r="G126" s="9" t="s">
        <v>44</v>
      </c>
      <c r="H126" s="10" t="n">
        <v>51</v>
      </c>
      <c r="I126" s="9" t="s">
        <v>40</v>
      </c>
      <c r="J126" s="11" t="n">
        <f aca="false">(E126-H126)/H126</f>
        <v>0.174509803921569</v>
      </c>
      <c r="K126" s="12" t="s">
        <v>37</v>
      </c>
      <c r="L126" s="9" t="s">
        <v>38</v>
      </c>
    </row>
    <row r="127" customFormat="false" ht="15" hidden="false" customHeight="false" outlineLevel="0" collapsed="false">
      <c r="A127" s="9" t="s">
        <v>264</v>
      </c>
      <c r="B127" s="9" t="s">
        <v>265</v>
      </c>
      <c r="C127" s="9" t="s">
        <v>266</v>
      </c>
      <c r="D127" s="9" t="s">
        <v>33</v>
      </c>
      <c r="E127" s="10" t="n">
        <v>59.9</v>
      </c>
      <c r="F127" s="9" t="s">
        <v>142</v>
      </c>
      <c r="G127" s="9" t="s">
        <v>44</v>
      </c>
      <c r="H127" s="10" t="n">
        <v>48.14</v>
      </c>
      <c r="I127" s="9" t="s">
        <v>40</v>
      </c>
      <c r="J127" s="11" t="n">
        <f aca="false">(E127-H127)/H127</f>
        <v>0.244287494806813</v>
      </c>
      <c r="K127" s="12" t="s">
        <v>37</v>
      </c>
      <c r="L127" s="9" t="s">
        <v>38</v>
      </c>
    </row>
    <row r="128" customFormat="false" ht="15" hidden="false" customHeight="false" outlineLevel="0" collapsed="false">
      <c r="A128" s="9" t="s">
        <v>267</v>
      </c>
      <c r="B128" s="9" t="s">
        <v>268</v>
      </c>
      <c r="C128" s="9" t="s">
        <v>266</v>
      </c>
      <c r="D128" s="9" t="s">
        <v>33</v>
      </c>
      <c r="E128" s="10" t="n">
        <v>139</v>
      </c>
      <c r="F128" s="9" t="s">
        <v>229</v>
      </c>
      <c r="G128" s="9" t="s">
        <v>44</v>
      </c>
      <c r="H128" s="10" t="n">
        <v>136.25</v>
      </c>
      <c r="I128" s="9" t="s">
        <v>36</v>
      </c>
      <c r="J128" s="11" t="n">
        <f aca="false">(E128-H128)/H128</f>
        <v>0.0201834862385321</v>
      </c>
      <c r="K128" s="12" t="s">
        <v>37</v>
      </c>
      <c r="L128" s="9" t="s">
        <v>38</v>
      </c>
    </row>
    <row r="129" customFormat="false" ht="15" hidden="false" customHeight="false" outlineLevel="0" collapsed="false">
      <c r="A129" s="9" t="s">
        <v>267</v>
      </c>
      <c r="B129" s="9" t="s">
        <v>268</v>
      </c>
      <c r="C129" s="9" t="s">
        <v>266</v>
      </c>
      <c r="D129" s="9" t="s">
        <v>33</v>
      </c>
      <c r="E129" s="10" t="n">
        <v>139</v>
      </c>
      <c r="F129" s="9" t="s">
        <v>132</v>
      </c>
      <c r="G129" s="9" t="s">
        <v>44</v>
      </c>
      <c r="H129" s="10" t="n">
        <v>115</v>
      </c>
      <c r="I129" s="9" t="s">
        <v>36</v>
      </c>
      <c r="J129" s="11" t="n">
        <f aca="false">(E129-H129)/H129</f>
        <v>0.208695652173913</v>
      </c>
      <c r="K129" s="12" t="s">
        <v>37</v>
      </c>
      <c r="L129" s="9" t="s">
        <v>38</v>
      </c>
    </row>
    <row r="130" customFormat="false" ht="15" hidden="false" customHeight="false" outlineLevel="0" collapsed="false">
      <c r="A130" s="9" t="s">
        <v>267</v>
      </c>
      <c r="B130" s="9" t="s">
        <v>268</v>
      </c>
      <c r="C130" s="9" t="s">
        <v>266</v>
      </c>
      <c r="D130" s="9" t="s">
        <v>33</v>
      </c>
      <c r="E130" s="10" t="n">
        <v>139</v>
      </c>
      <c r="F130" s="9" t="s">
        <v>269</v>
      </c>
      <c r="G130" s="9" t="s">
        <v>44</v>
      </c>
      <c r="H130" s="10" t="n">
        <v>122</v>
      </c>
      <c r="I130" s="9" t="s">
        <v>40</v>
      </c>
      <c r="J130" s="11" t="n">
        <f aca="false">(E130-H130)/H130</f>
        <v>0.139344262295082</v>
      </c>
      <c r="K130" s="12" t="s">
        <v>37</v>
      </c>
      <c r="L130" s="9" t="s">
        <v>38</v>
      </c>
    </row>
    <row r="131" customFormat="false" ht="15" hidden="false" customHeight="false" outlineLevel="0" collapsed="false">
      <c r="A131" s="9" t="s">
        <v>270</v>
      </c>
      <c r="B131" s="9" t="s">
        <v>271</v>
      </c>
      <c r="C131" s="9" t="s">
        <v>266</v>
      </c>
      <c r="D131" s="9" t="s">
        <v>33</v>
      </c>
      <c r="E131" s="10" t="n">
        <v>85</v>
      </c>
      <c r="F131" s="9" t="s">
        <v>132</v>
      </c>
      <c r="G131" s="9" t="s">
        <v>35</v>
      </c>
      <c r="H131" s="10" t="n">
        <v>77</v>
      </c>
      <c r="I131" s="9" t="s">
        <v>36</v>
      </c>
      <c r="J131" s="11" t="n">
        <f aca="false">(E131-H131)/H131</f>
        <v>0.103896103896104</v>
      </c>
      <c r="K131" s="12" t="s">
        <v>37</v>
      </c>
      <c r="L131" s="9" t="s">
        <v>38</v>
      </c>
    </row>
    <row r="132" customFormat="false" ht="15" hidden="false" customHeight="false" outlineLevel="0" collapsed="false">
      <c r="A132" s="9" t="s">
        <v>272</v>
      </c>
      <c r="B132" s="9" t="s">
        <v>273</v>
      </c>
      <c r="C132" s="9" t="s">
        <v>266</v>
      </c>
      <c r="D132" s="9" t="s">
        <v>274</v>
      </c>
      <c r="E132" s="10" t="n">
        <v>189</v>
      </c>
      <c r="F132" s="9" t="s">
        <v>39</v>
      </c>
      <c r="G132" s="9" t="s">
        <v>35</v>
      </c>
      <c r="H132" s="10" t="n">
        <v>146.95</v>
      </c>
      <c r="I132" s="9" t="s">
        <v>36</v>
      </c>
      <c r="J132" s="11" t="n">
        <f aca="false">(E132-H132)/H132</f>
        <v>0.2861517522967</v>
      </c>
      <c r="K132" s="12" t="s">
        <v>37</v>
      </c>
      <c r="L132" s="9" t="s">
        <v>38</v>
      </c>
    </row>
    <row r="133" customFormat="false" ht="15" hidden="false" customHeight="false" outlineLevel="0" collapsed="false">
      <c r="A133" s="9" t="s">
        <v>275</v>
      </c>
      <c r="B133" s="9" t="s">
        <v>276</v>
      </c>
      <c r="C133" s="9" t="s">
        <v>266</v>
      </c>
      <c r="D133" s="9" t="s">
        <v>228</v>
      </c>
      <c r="E133" s="10" t="n">
        <v>69</v>
      </c>
      <c r="F133" s="9" t="s">
        <v>132</v>
      </c>
      <c r="G133" s="9" t="s">
        <v>35</v>
      </c>
      <c r="H133" s="10" t="n">
        <v>62</v>
      </c>
      <c r="I133" s="9" t="s">
        <v>40</v>
      </c>
      <c r="J133" s="11" t="n">
        <f aca="false">(E133-H133)/H133</f>
        <v>0.112903225806452</v>
      </c>
      <c r="K133" s="12" t="s">
        <v>37</v>
      </c>
      <c r="L133" s="9" t="s">
        <v>38</v>
      </c>
    </row>
    <row r="134" customFormat="false" ht="15" hidden="false" customHeight="false" outlineLevel="0" collapsed="false">
      <c r="A134" s="9" t="s">
        <v>277</v>
      </c>
      <c r="B134" s="9" t="s">
        <v>278</v>
      </c>
      <c r="C134" s="9" t="s">
        <v>266</v>
      </c>
      <c r="D134" s="9" t="s">
        <v>279</v>
      </c>
      <c r="E134" s="10" t="n">
        <v>7.9</v>
      </c>
      <c r="F134" s="9" t="s">
        <v>269</v>
      </c>
      <c r="G134" s="9" t="s">
        <v>44</v>
      </c>
      <c r="H134" s="10" t="n">
        <v>8.9</v>
      </c>
      <c r="I134" s="9" t="s">
        <v>40</v>
      </c>
      <c r="J134" s="11" t="n">
        <f aca="false">(E134-H134)/H134</f>
        <v>-0.112359550561798</v>
      </c>
      <c r="K134" s="12" t="s">
        <v>37</v>
      </c>
      <c r="L134" s="9" t="s">
        <v>38</v>
      </c>
    </row>
    <row r="135" customFormat="false" ht="15" hidden="false" customHeight="false" outlineLevel="0" collapsed="false">
      <c r="A135" s="9" t="s">
        <v>280</v>
      </c>
      <c r="B135" s="9" t="s">
        <v>281</v>
      </c>
      <c r="C135" s="9" t="s">
        <v>266</v>
      </c>
      <c r="D135" s="9" t="s">
        <v>33</v>
      </c>
      <c r="E135" s="10" t="n">
        <v>139</v>
      </c>
      <c r="F135" s="9" t="s">
        <v>142</v>
      </c>
      <c r="G135" s="9" t="s">
        <v>89</v>
      </c>
      <c r="H135" s="10" t="n">
        <v>97.5</v>
      </c>
      <c r="I135" s="9" t="s">
        <v>36</v>
      </c>
      <c r="J135" s="11" t="n">
        <f aca="false">(E135-H135)/H135</f>
        <v>0.425641025641026</v>
      </c>
      <c r="K135" s="12" t="s">
        <v>37</v>
      </c>
      <c r="L135" s="9" t="s">
        <v>38</v>
      </c>
    </row>
    <row r="136" customFormat="false" ht="15" hidden="false" customHeight="false" outlineLevel="0" collapsed="false">
      <c r="A136" s="9" t="s">
        <v>282</v>
      </c>
      <c r="B136" s="9" t="s">
        <v>283</v>
      </c>
      <c r="C136" s="9" t="s">
        <v>266</v>
      </c>
      <c r="D136" s="9" t="s">
        <v>228</v>
      </c>
      <c r="E136" s="10" t="n">
        <v>45</v>
      </c>
      <c r="F136" s="9" t="s">
        <v>132</v>
      </c>
      <c r="G136" s="9" t="s">
        <v>35</v>
      </c>
      <c r="H136" s="10" t="n">
        <v>42</v>
      </c>
      <c r="I136" s="9" t="s">
        <v>40</v>
      </c>
      <c r="J136" s="11" t="n">
        <f aca="false">(E136-H136)/H136</f>
        <v>0.0714285714285714</v>
      </c>
      <c r="K136" s="12" t="s">
        <v>37</v>
      </c>
      <c r="L136" s="9" t="s">
        <v>38</v>
      </c>
    </row>
    <row r="137" customFormat="false" ht="15" hidden="false" customHeight="false" outlineLevel="0" collapsed="false">
      <c r="A137" s="9" t="s">
        <v>284</v>
      </c>
      <c r="B137" s="9" t="s">
        <v>285</v>
      </c>
      <c r="C137" s="9" t="s">
        <v>266</v>
      </c>
      <c r="D137" s="9" t="s">
        <v>286</v>
      </c>
      <c r="E137" s="10" t="n">
        <v>69</v>
      </c>
      <c r="F137" s="9" t="s">
        <v>132</v>
      </c>
      <c r="G137" s="9" t="s">
        <v>35</v>
      </c>
      <c r="H137" s="10" t="n">
        <v>58</v>
      </c>
      <c r="I137" s="9" t="s">
        <v>36</v>
      </c>
      <c r="J137" s="11" t="n">
        <f aca="false">(E137-H137)/H137</f>
        <v>0.189655172413793</v>
      </c>
      <c r="K137" s="12" t="s">
        <v>37</v>
      </c>
      <c r="L137" s="9" t="s">
        <v>38</v>
      </c>
    </row>
    <row r="138" customFormat="false" ht="15" hidden="false" customHeight="false" outlineLevel="0" collapsed="false">
      <c r="A138" s="9" t="s">
        <v>284</v>
      </c>
      <c r="B138" s="9" t="s">
        <v>285</v>
      </c>
      <c r="C138" s="9" t="s">
        <v>266</v>
      </c>
      <c r="D138" s="9" t="s">
        <v>286</v>
      </c>
      <c r="E138" s="10" t="n">
        <v>69</v>
      </c>
      <c r="F138" s="9" t="s">
        <v>142</v>
      </c>
      <c r="G138" s="9" t="s">
        <v>35</v>
      </c>
      <c r="H138" s="10" t="n">
        <v>54.94</v>
      </c>
      <c r="I138" s="9" t="s">
        <v>40</v>
      </c>
      <c r="J138" s="11" t="n">
        <f aca="false">(E138-H138)/H138</f>
        <v>0.255915544230069</v>
      </c>
      <c r="K138" s="12" t="s">
        <v>37</v>
      </c>
      <c r="L138" s="9" t="s">
        <v>38</v>
      </c>
    </row>
    <row r="139" customFormat="false" ht="15" hidden="false" customHeight="false" outlineLevel="0" collapsed="false">
      <c r="A139" s="9" t="s">
        <v>287</v>
      </c>
      <c r="B139" s="9" t="s">
        <v>288</v>
      </c>
      <c r="C139" s="9" t="s">
        <v>266</v>
      </c>
      <c r="D139" s="9" t="s">
        <v>82</v>
      </c>
      <c r="E139" s="10" t="n">
        <v>135</v>
      </c>
      <c r="F139" s="9" t="s">
        <v>132</v>
      </c>
      <c r="G139" s="9" t="s">
        <v>35</v>
      </c>
      <c r="H139" s="10" t="n">
        <v>135</v>
      </c>
      <c r="I139" s="9" t="s">
        <v>40</v>
      </c>
      <c r="J139" s="11" t="n">
        <f aca="false">(E139-H139)/H139</f>
        <v>0</v>
      </c>
      <c r="K139" s="12" t="s">
        <v>37</v>
      </c>
      <c r="L139" s="9" t="s">
        <v>38</v>
      </c>
    </row>
    <row r="140" customFormat="false" ht="15" hidden="false" customHeight="false" outlineLevel="0" collapsed="false">
      <c r="A140" s="9" t="s">
        <v>289</v>
      </c>
      <c r="B140" s="9" t="s">
        <v>290</v>
      </c>
      <c r="C140" s="9" t="s">
        <v>266</v>
      </c>
      <c r="D140" s="9" t="s">
        <v>33</v>
      </c>
      <c r="E140" s="10" t="n">
        <v>39</v>
      </c>
      <c r="F140" s="9" t="s">
        <v>132</v>
      </c>
      <c r="G140" s="9" t="s">
        <v>35</v>
      </c>
      <c r="H140" s="10" t="n">
        <v>35</v>
      </c>
      <c r="I140" s="9" t="s">
        <v>36</v>
      </c>
      <c r="J140" s="11" t="n">
        <f aca="false">(E140-H140)/H140</f>
        <v>0.114285714285714</v>
      </c>
      <c r="K140" s="12" t="s">
        <v>37</v>
      </c>
      <c r="L140" s="9" t="s">
        <v>38</v>
      </c>
    </row>
    <row r="141" customFormat="false" ht="15" hidden="false" customHeight="false" outlineLevel="0" collapsed="false">
      <c r="A141" s="9" t="s">
        <v>291</v>
      </c>
      <c r="B141" s="9" t="s">
        <v>292</v>
      </c>
      <c r="C141" s="9" t="s">
        <v>266</v>
      </c>
      <c r="D141" s="9" t="s">
        <v>33</v>
      </c>
      <c r="E141" s="10" t="n">
        <v>36.6</v>
      </c>
      <c r="F141" s="9" t="s">
        <v>132</v>
      </c>
      <c r="G141" s="9" t="s">
        <v>35</v>
      </c>
      <c r="H141" s="10" t="n">
        <v>32</v>
      </c>
      <c r="I141" s="9" t="s">
        <v>36</v>
      </c>
      <c r="J141" s="11" t="n">
        <f aca="false">(E141-H141)/H141</f>
        <v>0.14375</v>
      </c>
      <c r="K141" s="12" t="s">
        <v>37</v>
      </c>
      <c r="L141" s="9" t="s">
        <v>38</v>
      </c>
    </row>
    <row r="142" customFormat="false" ht="15" hidden="false" customHeight="false" outlineLevel="0" collapsed="false">
      <c r="A142" s="9" t="s">
        <v>293</v>
      </c>
      <c r="B142" s="9" t="s">
        <v>294</v>
      </c>
      <c r="C142" s="9" t="s">
        <v>266</v>
      </c>
      <c r="D142" s="9" t="s">
        <v>51</v>
      </c>
      <c r="E142" s="10" t="n">
        <v>58.5</v>
      </c>
      <c r="F142" s="9" t="s">
        <v>229</v>
      </c>
      <c r="G142" s="9" t="s">
        <v>44</v>
      </c>
      <c r="H142" s="10" t="n">
        <v>55.45</v>
      </c>
      <c r="I142" s="9" t="s">
        <v>36</v>
      </c>
      <c r="J142" s="11" t="n">
        <f aca="false">(E142-H142)/H142</f>
        <v>0.0550045085662759</v>
      </c>
      <c r="K142" s="12" t="s">
        <v>37</v>
      </c>
      <c r="L142" s="9" t="s">
        <v>38</v>
      </c>
    </row>
    <row r="143" customFormat="false" ht="15" hidden="false" customHeight="false" outlineLevel="0" collapsed="false">
      <c r="A143" s="9" t="s">
        <v>295</v>
      </c>
      <c r="B143" s="9" t="s">
        <v>296</v>
      </c>
      <c r="C143" s="9" t="s">
        <v>266</v>
      </c>
      <c r="D143" s="9" t="s">
        <v>33</v>
      </c>
      <c r="E143" s="10" t="n">
        <v>89</v>
      </c>
      <c r="F143" s="9" t="s">
        <v>229</v>
      </c>
      <c r="G143" s="9" t="s">
        <v>35</v>
      </c>
      <c r="H143" s="10" t="n">
        <v>75.65</v>
      </c>
      <c r="I143" s="9" t="s">
        <v>36</v>
      </c>
      <c r="J143" s="11" t="n">
        <f aca="false">(E143-H143)/H143</f>
        <v>0.176470588235294</v>
      </c>
      <c r="K143" s="12" t="s">
        <v>37</v>
      </c>
      <c r="L143" s="9" t="s">
        <v>38</v>
      </c>
    </row>
    <row r="144" customFormat="false" ht="15" hidden="false" customHeight="false" outlineLevel="0" collapsed="false">
      <c r="A144" s="9" t="s">
        <v>295</v>
      </c>
      <c r="B144" s="9" t="s">
        <v>296</v>
      </c>
      <c r="C144" s="9" t="s">
        <v>266</v>
      </c>
      <c r="D144" s="9" t="s">
        <v>33</v>
      </c>
      <c r="E144" s="10" t="n">
        <v>89</v>
      </c>
      <c r="F144" s="9" t="s">
        <v>132</v>
      </c>
      <c r="G144" s="9" t="s">
        <v>35</v>
      </c>
      <c r="H144" s="10" t="n">
        <v>74</v>
      </c>
      <c r="I144" s="9" t="s">
        <v>40</v>
      </c>
      <c r="J144" s="11" t="n">
        <f aca="false">(E144-H144)/H144</f>
        <v>0.202702702702703</v>
      </c>
      <c r="K144" s="12" t="s">
        <v>37</v>
      </c>
      <c r="L144" s="9" t="s">
        <v>38</v>
      </c>
    </row>
    <row r="145" customFormat="false" ht="15" hidden="false" customHeight="false" outlineLevel="0" collapsed="false">
      <c r="A145" s="9" t="s">
        <v>295</v>
      </c>
      <c r="B145" s="9" t="s">
        <v>296</v>
      </c>
      <c r="C145" s="9" t="s">
        <v>266</v>
      </c>
      <c r="D145" s="9" t="s">
        <v>33</v>
      </c>
      <c r="E145" s="10" t="n">
        <v>89</v>
      </c>
      <c r="F145" s="9" t="s">
        <v>269</v>
      </c>
      <c r="G145" s="9" t="s">
        <v>35</v>
      </c>
      <c r="H145" s="10" t="n">
        <v>79.9</v>
      </c>
      <c r="I145" s="9" t="s">
        <v>40</v>
      </c>
      <c r="J145" s="11" t="n">
        <f aca="false">(E145-H145)/H145</f>
        <v>0.113892365456821</v>
      </c>
      <c r="K145" s="12" t="s">
        <v>37</v>
      </c>
      <c r="L145" s="9" t="s">
        <v>38</v>
      </c>
    </row>
    <row r="146" customFormat="false" ht="15" hidden="false" customHeight="false" outlineLevel="0" collapsed="false">
      <c r="A146" s="9" t="s">
        <v>297</v>
      </c>
      <c r="B146" s="9" t="s">
        <v>298</v>
      </c>
      <c r="C146" s="9" t="s">
        <v>266</v>
      </c>
      <c r="D146" s="9" t="s">
        <v>299</v>
      </c>
      <c r="E146" s="10" t="n">
        <v>155</v>
      </c>
      <c r="F146" s="9" t="s">
        <v>132</v>
      </c>
      <c r="G146" s="9" t="s">
        <v>35</v>
      </c>
      <c r="H146" s="10" t="n">
        <v>105</v>
      </c>
      <c r="I146" s="9" t="s">
        <v>36</v>
      </c>
      <c r="J146" s="11" t="n">
        <f aca="false">(E146-H146)/H146</f>
        <v>0.476190476190476</v>
      </c>
      <c r="K146" s="12" t="s">
        <v>37</v>
      </c>
      <c r="L146" s="9" t="s">
        <v>38</v>
      </c>
    </row>
    <row r="147" customFormat="false" ht="15" hidden="false" customHeight="false" outlineLevel="0" collapsed="false">
      <c r="A147" s="9" t="s">
        <v>297</v>
      </c>
      <c r="B147" s="9" t="s">
        <v>298</v>
      </c>
      <c r="C147" s="9" t="s">
        <v>266</v>
      </c>
      <c r="D147" s="9" t="s">
        <v>299</v>
      </c>
      <c r="E147" s="10" t="n">
        <v>155</v>
      </c>
      <c r="F147" s="9" t="s">
        <v>269</v>
      </c>
      <c r="G147" s="9" t="s">
        <v>35</v>
      </c>
      <c r="H147" s="10" t="n">
        <v>104</v>
      </c>
      <c r="I147" s="9" t="s">
        <v>40</v>
      </c>
      <c r="J147" s="11" t="n">
        <f aca="false">(E147-H147)/H147</f>
        <v>0.490384615384615</v>
      </c>
      <c r="K147" s="12" t="s">
        <v>37</v>
      </c>
      <c r="L147" s="9" t="s">
        <v>38</v>
      </c>
    </row>
    <row r="148" customFormat="false" ht="15" hidden="false" customHeight="false" outlineLevel="0" collapsed="false">
      <c r="A148" s="9" t="s">
        <v>300</v>
      </c>
      <c r="B148" s="9" t="s">
        <v>301</v>
      </c>
      <c r="C148" s="9" t="s">
        <v>266</v>
      </c>
      <c r="D148" s="9" t="s">
        <v>33</v>
      </c>
      <c r="E148" s="10" t="n">
        <v>3.9</v>
      </c>
      <c r="F148" s="9" t="s">
        <v>229</v>
      </c>
      <c r="G148" s="9" t="s">
        <v>35</v>
      </c>
      <c r="H148" s="10" t="n">
        <v>6.06</v>
      </c>
      <c r="I148" s="9" t="s">
        <v>36</v>
      </c>
      <c r="J148" s="11" t="n">
        <f aca="false">(E148-H148)/H148</f>
        <v>-0.356435643564356</v>
      </c>
      <c r="K148" s="12" t="s">
        <v>37</v>
      </c>
      <c r="L148" s="9" t="s">
        <v>38</v>
      </c>
    </row>
    <row r="149" customFormat="false" ht="15" hidden="false" customHeight="false" outlineLevel="0" collapsed="false">
      <c r="A149" s="9" t="s">
        <v>302</v>
      </c>
      <c r="B149" s="9" t="s">
        <v>303</v>
      </c>
      <c r="C149" s="9" t="s">
        <v>266</v>
      </c>
      <c r="D149" s="9" t="s">
        <v>33</v>
      </c>
      <c r="E149" s="10" t="n">
        <v>79</v>
      </c>
      <c r="F149" s="9" t="s">
        <v>269</v>
      </c>
      <c r="G149" s="9" t="s">
        <v>35</v>
      </c>
      <c r="H149" s="10" t="n">
        <v>69</v>
      </c>
      <c r="I149" s="9" t="s">
        <v>40</v>
      </c>
      <c r="J149" s="11" t="n">
        <f aca="false">(E149-H149)/H149</f>
        <v>0.144927536231884</v>
      </c>
      <c r="K149" s="12" t="s">
        <v>37</v>
      </c>
      <c r="L149" s="9" t="s">
        <v>38</v>
      </c>
    </row>
    <row r="150" customFormat="false" ht="15" hidden="false" customHeight="false" outlineLevel="0" collapsed="false">
      <c r="A150" s="9" t="s">
        <v>304</v>
      </c>
      <c r="B150" s="9" t="s">
        <v>305</v>
      </c>
      <c r="C150" s="9" t="s">
        <v>266</v>
      </c>
      <c r="D150" s="9" t="s">
        <v>33</v>
      </c>
      <c r="E150" s="10" t="n">
        <v>105</v>
      </c>
      <c r="F150" s="9" t="s">
        <v>132</v>
      </c>
      <c r="G150" s="9" t="s">
        <v>35</v>
      </c>
      <c r="H150" s="10" t="n">
        <v>105</v>
      </c>
      <c r="I150" s="9" t="s">
        <v>36</v>
      </c>
      <c r="J150" s="11" t="n">
        <f aca="false">(E150-H150)/H150</f>
        <v>0</v>
      </c>
      <c r="K150" s="12" t="s">
        <v>37</v>
      </c>
      <c r="L150" s="9" t="s">
        <v>38</v>
      </c>
    </row>
    <row r="151" customFormat="false" ht="15" hidden="false" customHeight="false" outlineLevel="0" collapsed="false">
      <c r="A151" s="9" t="s">
        <v>304</v>
      </c>
      <c r="B151" s="9" t="s">
        <v>305</v>
      </c>
      <c r="C151" s="9" t="s">
        <v>266</v>
      </c>
      <c r="D151" s="9" t="s">
        <v>33</v>
      </c>
      <c r="E151" s="10" t="n">
        <v>105</v>
      </c>
      <c r="F151" s="9" t="s">
        <v>269</v>
      </c>
      <c r="G151" s="9" t="s">
        <v>35</v>
      </c>
      <c r="H151" s="10" t="n">
        <v>104</v>
      </c>
      <c r="I151" s="9" t="s">
        <v>40</v>
      </c>
      <c r="J151" s="11" t="n">
        <f aca="false">(E151-H151)/H151</f>
        <v>0.00961538461538462</v>
      </c>
      <c r="K151" s="12" t="s">
        <v>37</v>
      </c>
      <c r="L151" s="9" t="s">
        <v>38</v>
      </c>
    </row>
    <row r="152" customFormat="false" ht="15" hidden="false" customHeight="false" outlineLevel="0" collapsed="false">
      <c r="A152" s="9" t="s">
        <v>306</v>
      </c>
      <c r="B152" s="9" t="s">
        <v>307</v>
      </c>
      <c r="C152" s="9" t="s">
        <v>266</v>
      </c>
      <c r="D152" s="9" t="s">
        <v>33</v>
      </c>
      <c r="E152" s="10" t="n">
        <v>105</v>
      </c>
      <c r="F152" s="9" t="s">
        <v>229</v>
      </c>
      <c r="G152" s="9" t="s">
        <v>35</v>
      </c>
      <c r="H152" s="10" t="n">
        <v>50.4</v>
      </c>
      <c r="I152" s="9" t="s">
        <v>36</v>
      </c>
      <c r="J152" s="11" t="n">
        <f aca="false">(E152-H152)/H152</f>
        <v>1.08333333333333</v>
      </c>
      <c r="K152" s="12" t="s">
        <v>37</v>
      </c>
      <c r="L152" s="9" t="s">
        <v>38</v>
      </c>
    </row>
    <row r="153" customFormat="false" ht="15" hidden="false" customHeight="false" outlineLevel="0" collapsed="false">
      <c r="A153" s="9" t="s">
        <v>306</v>
      </c>
      <c r="B153" s="9" t="s">
        <v>307</v>
      </c>
      <c r="C153" s="9" t="s">
        <v>266</v>
      </c>
      <c r="D153" s="9" t="s">
        <v>33</v>
      </c>
      <c r="E153" s="10" t="n">
        <v>105</v>
      </c>
      <c r="F153" s="9" t="s">
        <v>132</v>
      </c>
      <c r="G153" s="9" t="s">
        <v>35</v>
      </c>
      <c r="H153" s="10" t="n">
        <v>105</v>
      </c>
      <c r="I153" s="9" t="s">
        <v>36</v>
      </c>
      <c r="J153" s="11" t="n">
        <f aca="false">(E153-H153)/H153</f>
        <v>0</v>
      </c>
      <c r="K153" s="12" t="s">
        <v>37</v>
      </c>
      <c r="L153" s="9" t="s">
        <v>38</v>
      </c>
    </row>
    <row r="154" customFormat="false" ht="15" hidden="false" customHeight="false" outlineLevel="0" collapsed="false">
      <c r="A154" s="9" t="s">
        <v>306</v>
      </c>
      <c r="B154" s="9" t="s">
        <v>307</v>
      </c>
      <c r="C154" s="9" t="s">
        <v>266</v>
      </c>
      <c r="D154" s="9" t="s">
        <v>33</v>
      </c>
      <c r="E154" s="10" t="n">
        <v>105</v>
      </c>
      <c r="F154" s="9" t="s">
        <v>269</v>
      </c>
      <c r="G154" s="9" t="s">
        <v>35</v>
      </c>
      <c r="H154" s="10" t="n">
        <v>86</v>
      </c>
      <c r="I154" s="9" t="s">
        <v>40</v>
      </c>
      <c r="J154" s="11" t="n">
        <f aca="false">(E154-H154)/H154</f>
        <v>0.22093023255814</v>
      </c>
      <c r="K154" s="12" t="s">
        <v>37</v>
      </c>
      <c r="L154" s="9" t="s">
        <v>38</v>
      </c>
    </row>
    <row r="155" customFormat="false" ht="15" hidden="false" customHeight="false" outlineLevel="0" collapsed="false">
      <c r="A155" s="9" t="s">
        <v>308</v>
      </c>
      <c r="B155" s="9" t="s">
        <v>309</v>
      </c>
      <c r="C155" s="9" t="s">
        <v>266</v>
      </c>
      <c r="D155" s="9" t="s">
        <v>33</v>
      </c>
      <c r="E155" s="10" t="n">
        <v>85</v>
      </c>
      <c r="F155" s="9" t="s">
        <v>269</v>
      </c>
      <c r="G155" s="9" t="s">
        <v>35</v>
      </c>
      <c r="H155" s="10" t="n">
        <v>68</v>
      </c>
      <c r="I155" s="9" t="s">
        <v>40</v>
      </c>
      <c r="J155" s="11" t="n">
        <f aca="false">(E155-H155)/H155</f>
        <v>0.25</v>
      </c>
      <c r="K155" s="12" t="s">
        <v>37</v>
      </c>
      <c r="L155" s="9" t="s">
        <v>38</v>
      </c>
    </row>
    <row r="156" customFormat="false" ht="15" hidden="false" customHeight="false" outlineLevel="0" collapsed="false">
      <c r="A156" s="9" t="s">
        <v>310</v>
      </c>
      <c r="B156" s="9" t="s">
        <v>311</v>
      </c>
      <c r="C156" s="9" t="s">
        <v>266</v>
      </c>
      <c r="D156" s="9" t="s">
        <v>33</v>
      </c>
      <c r="E156" s="10" t="n">
        <v>33</v>
      </c>
      <c r="F156" s="9" t="s">
        <v>132</v>
      </c>
      <c r="G156" s="9" t="s">
        <v>35</v>
      </c>
      <c r="H156" s="10" t="n">
        <v>41</v>
      </c>
      <c r="I156" s="9" t="s">
        <v>40</v>
      </c>
      <c r="J156" s="11" t="n">
        <f aca="false">(E156-H156)/H156</f>
        <v>-0.195121951219512</v>
      </c>
      <c r="K156" s="12" t="s">
        <v>37</v>
      </c>
      <c r="L156" s="9" t="s">
        <v>38</v>
      </c>
    </row>
    <row r="157" customFormat="false" ht="15" hidden="false" customHeight="false" outlineLevel="0" collapsed="false">
      <c r="A157" s="9" t="s">
        <v>312</v>
      </c>
      <c r="B157" s="9" t="s">
        <v>313</v>
      </c>
      <c r="C157" s="9" t="s">
        <v>266</v>
      </c>
      <c r="D157" s="9" t="s">
        <v>314</v>
      </c>
      <c r="E157" s="10" t="n">
        <v>7.4</v>
      </c>
      <c r="F157" s="9" t="s">
        <v>229</v>
      </c>
      <c r="G157" s="9" t="s">
        <v>44</v>
      </c>
      <c r="H157" s="10" t="n">
        <v>7.58</v>
      </c>
      <c r="I157" s="9" t="s">
        <v>36</v>
      </c>
      <c r="J157" s="11" t="n">
        <f aca="false">(E157-H157)/H157</f>
        <v>-0.0237467018469657</v>
      </c>
      <c r="K157" s="12" t="s">
        <v>37</v>
      </c>
      <c r="L157" s="9" t="s">
        <v>38</v>
      </c>
    </row>
    <row r="158" customFormat="false" ht="15" hidden="false" customHeight="false" outlineLevel="0" collapsed="false">
      <c r="A158" s="9" t="s">
        <v>315</v>
      </c>
      <c r="B158" s="9" t="s">
        <v>316</v>
      </c>
      <c r="C158" s="9" t="s">
        <v>266</v>
      </c>
      <c r="D158" s="9" t="s">
        <v>228</v>
      </c>
      <c r="E158" s="10" t="n">
        <v>40.9</v>
      </c>
      <c r="F158" s="9" t="s">
        <v>229</v>
      </c>
      <c r="G158" s="9" t="s">
        <v>35</v>
      </c>
      <c r="H158" s="10" t="n">
        <v>28.18</v>
      </c>
      <c r="I158" s="9" t="s">
        <v>36</v>
      </c>
      <c r="J158" s="11" t="n">
        <f aca="false">(E158-H158)/H158</f>
        <v>0.4513839602555</v>
      </c>
      <c r="K158" s="12" t="s">
        <v>37</v>
      </c>
      <c r="L158" s="9" t="s">
        <v>38</v>
      </c>
    </row>
    <row r="159" customFormat="false" ht="15" hidden="false" customHeight="false" outlineLevel="0" collapsed="false">
      <c r="A159" s="9" t="s">
        <v>315</v>
      </c>
      <c r="B159" s="9" t="s">
        <v>316</v>
      </c>
      <c r="C159" s="9" t="s">
        <v>266</v>
      </c>
      <c r="D159" s="9" t="s">
        <v>228</v>
      </c>
      <c r="E159" s="10" t="n">
        <v>40.9</v>
      </c>
      <c r="F159" s="9" t="s">
        <v>132</v>
      </c>
      <c r="G159" s="9" t="s">
        <v>35</v>
      </c>
      <c r="H159" s="10" t="n">
        <v>21</v>
      </c>
      <c r="I159" s="9" t="s">
        <v>40</v>
      </c>
      <c r="J159" s="11" t="n">
        <f aca="false">(E159-H159)/H159</f>
        <v>0.947619047619048</v>
      </c>
      <c r="K159" s="12" t="s">
        <v>37</v>
      </c>
      <c r="L159" s="9" t="s">
        <v>38</v>
      </c>
    </row>
    <row r="160" customFormat="false" ht="15" hidden="false" customHeight="false" outlineLevel="0" collapsed="false">
      <c r="A160" s="9" t="s">
        <v>317</v>
      </c>
      <c r="B160" s="9" t="s">
        <v>318</v>
      </c>
      <c r="C160" s="9" t="s">
        <v>266</v>
      </c>
      <c r="D160" s="9" t="s">
        <v>319</v>
      </c>
      <c r="E160" s="10" t="n">
        <v>125</v>
      </c>
      <c r="F160" s="9" t="s">
        <v>132</v>
      </c>
      <c r="G160" s="9" t="s">
        <v>35</v>
      </c>
      <c r="H160" s="10" t="n">
        <v>89</v>
      </c>
      <c r="I160" s="9" t="s">
        <v>36</v>
      </c>
      <c r="J160" s="11" t="n">
        <f aca="false">(E160-H160)/H160</f>
        <v>0.404494382022472</v>
      </c>
      <c r="K160" s="12" t="s">
        <v>37</v>
      </c>
      <c r="L160" s="9" t="s">
        <v>38</v>
      </c>
    </row>
    <row r="161" customFormat="false" ht="15" hidden="false" customHeight="false" outlineLevel="0" collapsed="false">
      <c r="A161" s="9" t="s">
        <v>320</v>
      </c>
      <c r="B161" s="9" t="s">
        <v>321</v>
      </c>
      <c r="C161" s="9" t="s">
        <v>266</v>
      </c>
      <c r="D161" s="9" t="s">
        <v>33</v>
      </c>
      <c r="E161" s="10" t="n">
        <v>69</v>
      </c>
      <c r="F161" s="9" t="s">
        <v>132</v>
      </c>
      <c r="G161" s="9" t="s">
        <v>35</v>
      </c>
      <c r="H161" s="10" t="n">
        <v>69</v>
      </c>
      <c r="I161" s="9" t="s">
        <v>36</v>
      </c>
      <c r="J161" s="11" t="n">
        <f aca="false">(E161-H161)/H161</f>
        <v>0</v>
      </c>
      <c r="K161" s="12" t="s">
        <v>37</v>
      </c>
      <c r="L161" s="9" t="s">
        <v>38</v>
      </c>
    </row>
    <row r="162" customFormat="false" ht="15" hidden="false" customHeight="false" outlineLevel="0" collapsed="false">
      <c r="A162" s="9" t="s">
        <v>320</v>
      </c>
      <c r="B162" s="9" t="s">
        <v>321</v>
      </c>
      <c r="C162" s="9" t="s">
        <v>266</v>
      </c>
      <c r="D162" s="9" t="s">
        <v>33</v>
      </c>
      <c r="E162" s="10" t="n">
        <v>69</v>
      </c>
      <c r="F162" s="9" t="s">
        <v>269</v>
      </c>
      <c r="G162" s="9" t="s">
        <v>35</v>
      </c>
      <c r="H162" s="10" t="n">
        <v>74</v>
      </c>
      <c r="I162" s="9" t="s">
        <v>40</v>
      </c>
      <c r="J162" s="11" t="n">
        <f aca="false">(E162-H162)/H162</f>
        <v>-0.0675675675675676</v>
      </c>
      <c r="K162" s="12" t="s">
        <v>37</v>
      </c>
      <c r="L162" s="9" t="s">
        <v>38</v>
      </c>
    </row>
    <row r="163" customFormat="false" ht="15" hidden="false" customHeight="false" outlineLevel="0" collapsed="false">
      <c r="A163" s="9" t="s">
        <v>322</v>
      </c>
      <c r="B163" s="9" t="s">
        <v>323</v>
      </c>
      <c r="C163" s="9" t="s">
        <v>266</v>
      </c>
      <c r="D163" s="9" t="s">
        <v>33</v>
      </c>
      <c r="E163" s="10" t="n">
        <v>139</v>
      </c>
      <c r="F163" s="9" t="s">
        <v>229</v>
      </c>
      <c r="G163" s="9" t="s">
        <v>35</v>
      </c>
      <c r="H163" s="10" t="n">
        <v>111</v>
      </c>
      <c r="I163" s="9" t="s">
        <v>36</v>
      </c>
      <c r="J163" s="11" t="n">
        <f aca="false">(E163-H163)/H163</f>
        <v>0.252252252252252</v>
      </c>
      <c r="K163" s="12" t="s">
        <v>37</v>
      </c>
      <c r="L163" s="9" t="s">
        <v>38</v>
      </c>
    </row>
    <row r="164" customFormat="false" ht="15" hidden="false" customHeight="false" outlineLevel="0" collapsed="false">
      <c r="A164" s="9" t="s">
        <v>322</v>
      </c>
      <c r="B164" s="9" t="s">
        <v>323</v>
      </c>
      <c r="C164" s="9" t="s">
        <v>266</v>
      </c>
      <c r="D164" s="9" t="s">
        <v>33</v>
      </c>
      <c r="E164" s="10" t="n">
        <v>139</v>
      </c>
      <c r="F164" s="9" t="s">
        <v>132</v>
      </c>
      <c r="G164" s="9" t="s">
        <v>35</v>
      </c>
      <c r="H164" s="10" t="n">
        <v>110</v>
      </c>
      <c r="I164" s="9" t="s">
        <v>36</v>
      </c>
      <c r="J164" s="11" t="n">
        <f aca="false">(E164-H164)/H164</f>
        <v>0.263636363636364</v>
      </c>
      <c r="K164" s="12" t="s">
        <v>37</v>
      </c>
      <c r="L164" s="9" t="s">
        <v>38</v>
      </c>
    </row>
    <row r="165" customFormat="false" ht="15" hidden="false" customHeight="false" outlineLevel="0" collapsed="false">
      <c r="A165" s="9" t="s">
        <v>322</v>
      </c>
      <c r="B165" s="9" t="s">
        <v>323</v>
      </c>
      <c r="C165" s="9" t="s">
        <v>266</v>
      </c>
      <c r="D165" s="9" t="s">
        <v>33</v>
      </c>
      <c r="E165" s="10" t="n">
        <v>139</v>
      </c>
      <c r="F165" s="9" t="s">
        <v>269</v>
      </c>
      <c r="G165" s="9" t="s">
        <v>35</v>
      </c>
      <c r="H165" s="10" t="n">
        <v>116</v>
      </c>
      <c r="I165" s="9" t="s">
        <v>40</v>
      </c>
      <c r="J165" s="11" t="n">
        <f aca="false">(E165-H165)/H165</f>
        <v>0.198275862068966</v>
      </c>
      <c r="K165" s="12" t="s">
        <v>37</v>
      </c>
      <c r="L165" s="9" t="s">
        <v>38</v>
      </c>
    </row>
    <row r="166" customFormat="false" ht="15" hidden="false" customHeight="false" outlineLevel="0" collapsed="false">
      <c r="A166" s="9" t="s">
        <v>324</v>
      </c>
      <c r="B166" s="9" t="s">
        <v>325</v>
      </c>
      <c r="C166" s="9" t="s">
        <v>266</v>
      </c>
      <c r="D166" s="9" t="s">
        <v>326</v>
      </c>
      <c r="E166" s="10" t="n">
        <v>25</v>
      </c>
      <c r="F166" s="9" t="s">
        <v>132</v>
      </c>
      <c r="G166" s="9" t="s">
        <v>35</v>
      </c>
      <c r="H166" s="10" t="n">
        <v>21</v>
      </c>
      <c r="I166" s="9" t="s">
        <v>36</v>
      </c>
      <c r="J166" s="11" t="n">
        <f aca="false">(E166-H166)/H166</f>
        <v>0.19047619047619</v>
      </c>
      <c r="K166" s="12" t="s">
        <v>37</v>
      </c>
      <c r="L166" s="9" t="s">
        <v>38</v>
      </c>
    </row>
    <row r="167" customFormat="false" ht="15" hidden="false" customHeight="false" outlineLevel="0" collapsed="false">
      <c r="A167" s="9" t="s">
        <v>327</v>
      </c>
      <c r="B167" s="9" t="s">
        <v>328</v>
      </c>
      <c r="C167" s="9" t="s">
        <v>266</v>
      </c>
      <c r="D167" s="9" t="s">
        <v>274</v>
      </c>
      <c r="E167" s="10" t="n">
        <v>110</v>
      </c>
      <c r="F167" s="9" t="s">
        <v>269</v>
      </c>
      <c r="G167" s="9" t="s">
        <v>35</v>
      </c>
      <c r="H167" s="10" t="n">
        <v>119</v>
      </c>
      <c r="I167" s="9" t="s">
        <v>40</v>
      </c>
      <c r="J167" s="11" t="n">
        <f aca="false">(E167-H167)/H167</f>
        <v>-0.0756302521008403</v>
      </c>
      <c r="K167" s="12" t="s">
        <v>37</v>
      </c>
      <c r="L167" s="9" t="s">
        <v>38</v>
      </c>
    </row>
  </sheetData>
  <autoFilter ref="A1:L167"/>
  <conditionalFormatting sqref="J2:J167">
    <cfRule type="cellIs" priority="2" operator="greaterThan" aboveAverage="0" equalAverage="0" bottom="0" percent="0" rank="0" text="" dxfId="6">
      <formula>0.02</formula>
    </cfRule>
    <cfRule type="cellIs" priority="3" operator="lessThan" aboveAverage="0" equalAverage="0" bottom="0" percent="0" rank="0" text="" dxfId="7">
      <formula>-0.02</formula>
    </cfRule>
  </conditionalFormatting>
  <hyperlinks>
    <hyperlink ref="K2" r:id="rId1" display="apri pagina"/>
    <hyperlink ref="K3" r:id="rId2" display="apri pagina"/>
    <hyperlink ref="K4" r:id="rId3" display="apri pagina"/>
    <hyperlink ref="K5" r:id="rId4" display="apri pagina"/>
    <hyperlink ref="K6" r:id="rId5" display="apri pagina"/>
    <hyperlink ref="K7" r:id="rId6" display="apri pagina"/>
    <hyperlink ref="K8" r:id="rId7" display="apri pagina"/>
    <hyperlink ref="K9" r:id="rId8" display="apri pagina"/>
    <hyperlink ref="K10" r:id="rId9" display="apri pagina"/>
    <hyperlink ref="K11" r:id="rId10" display="apri pagina"/>
    <hyperlink ref="K12" r:id="rId11" display="apri pagina"/>
    <hyperlink ref="K13" r:id="rId12" display="apri pagina"/>
    <hyperlink ref="K14" r:id="rId13" display="apri pagina"/>
    <hyperlink ref="K15" r:id="rId14" display="apri pagina"/>
    <hyperlink ref="K16" r:id="rId15" display="apri pagina"/>
    <hyperlink ref="K17" r:id="rId16" display="apri pagina"/>
    <hyperlink ref="K18" r:id="rId17" display="apri pagina"/>
    <hyperlink ref="K19" r:id="rId18" display="apri pagina"/>
    <hyperlink ref="K20" r:id="rId19" display="apri pagina"/>
    <hyperlink ref="K21" r:id="rId20" display="apri pagina"/>
    <hyperlink ref="K22" r:id="rId21" display="apri pagina"/>
    <hyperlink ref="K23" r:id="rId22" display="apri pagina"/>
    <hyperlink ref="K24" r:id="rId23" display="apri pagina"/>
    <hyperlink ref="K25" r:id="rId24" display="apri pagina"/>
    <hyperlink ref="K26" r:id="rId25" display="apri pagina"/>
    <hyperlink ref="K27" r:id="rId26" display="apri pagina"/>
    <hyperlink ref="K28" r:id="rId27" display="apri pagina"/>
    <hyperlink ref="K29" r:id="rId28" display="apri pagina"/>
    <hyperlink ref="K30" r:id="rId29" display="apri pagina"/>
    <hyperlink ref="K31" r:id="rId30" display="apri pagina"/>
    <hyperlink ref="K32" r:id="rId31" display="apri pagina"/>
    <hyperlink ref="K33" r:id="rId32" display="apri pagina"/>
    <hyperlink ref="K34" r:id="rId33" display="apri pagina"/>
    <hyperlink ref="K35" r:id="rId34" display="apri pagina"/>
    <hyperlink ref="K36" r:id="rId35" display="apri pagina"/>
    <hyperlink ref="K37" r:id="rId36" display="apri pagina"/>
    <hyperlink ref="K38" r:id="rId37" display="apri pagina"/>
    <hyperlink ref="K39" r:id="rId38" display="apri pagina"/>
    <hyperlink ref="K40" r:id="rId39" display="apri pagina"/>
    <hyperlink ref="K41" r:id="rId40" display="apri pagina"/>
    <hyperlink ref="K42" r:id="rId41" display="apri pagina"/>
    <hyperlink ref="K43" r:id="rId42" display="apri pagina"/>
    <hyperlink ref="K44" r:id="rId43" display="apri pagina"/>
    <hyperlink ref="K45" r:id="rId44" display="apri pagina"/>
    <hyperlink ref="K46" r:id="rId45" display="apri pagina"/>
    <hyperlink ref="K47" r:id="rId46" display="apri pagina"/>
    <hyperlink ref="K48" r:id="rId47" display="apri pagina"/>
    <hyperlink ref="K49" r:id="rId48" display="apri pagina"/>
    <hyperlink ref="K50" r:id="rId49" display="apri pagina"/>
    <hyperlink ref="K51" r:id="rId50" display="apri pagina"/>
    <hyperlink ref="K52" r:id="rId51" display="apri pagina"/>
    <hyperlink ref="K53" r:id="rId52" display="apri pagina"/>
    <hyperlink ref="K54" r:id="rId53" display="apri pagina"/>
    <hyperlink ref="K55" r:id="rId54" display="apri pagina"/>
    <hyperlink ref="K56" r:id="rId55" display="apri pagina"/>
    <hyperlink ref="K57" r:id="rId56" display="apri pagina"/>
    <hyperlink ref="K58" r:id="rId57" display="apri pagina"/>
    <hyperlink ref="K59" r:id="rId58" display="apri pagina"/>
    <hyperlink ref="K60" r:id="rId59" display="apri pagina"/>
    <hyperlink ref="K61" r:id="rId60" display="apri pagina"/>
    <hyperlink ref="K62" r:id="rId61" display="apri pagina"/>
    <hyperlink ref="K63" r:id="rId62" display="apri pagina"/>
    <hyperlink ref="K64" r:id="rId63" display="apri pagina"/>
    <hyperlink ref="K65" r:id="rId64" display="apri pagina"/>
    <hyperlink ref="K66" r:id="rId65" display="apri pagina"/>
    <hyperlink ref="K67" r:id="rId66" display="apri pagina"/>
    <hyperlink ref="K68" r:id="rId67" display="apri pagina"/>
    <hyperlink ref="K69" r:id="rId68" display="apri pagina"/>
    <hyperlink ref="K70" r:id="rId69" display="apri pagina"/>
    <hyperlink ref="K71" r:id="rId70" display="apri pagina"/>
    <hyperlink ref="K72" r:id="rId71" display="apri pagina"/>
    <hyperlink ref="K73" r:id="rId72" display="apri pagina"/>
    <hyperlink ref="K74" r:id="rId73" display="apri pagina"/>
    <hyperlink ref="K75" r:id="rId74" display="apri pagina"/>
    <hyperlink ref="K76" r:id="rId75" display="apri pagina"/>
    <hyperlink ref="K77" r:id="rId76" display="apri pagina"/>
    <hyperlink ref="K78" r:id="rId77" display="apri pagina"/>
    <hyperlink ref="K79" r:id="rId78" display="apri pagina"/>
    <hyperlink ref="K80" r:id="rId79" display="apri pagina"/>
    <hyperlink ref="K81" r:id="rId80" display="apri pagina"/>
    <hyperlink ref="K82" r:id="rId81" display="apri pagina"/>
    <hyperlink ref="K83" r:id="rId82" display="apri pagina"/>
    <hyperlink ref="K84" r:id="rId83" display="apri pagina"/>
    <hyperlink ref="K85" r:id="rId84" display="apri pagina"/>
    <hyperlink ref="K86" r:id="rId85" display="apri pagina"/>
    <hyperlink ref="K87" r:id="rId86" display="apri pagina"/>
    <hyperlink ref="K88" r:id="rId87" display="apri pagina"/>
    <hyperlink ref="K89" r:id="rId88" display="apri pagina"/>
    <hyperlink ref="K90" r:id="rId89" display="apri pagina"/>
    <hyperlink ref="K91" r:id="rId90" display="apri pagina"/>
    <hyperlink ref="K92" r:id="rId91" display="apri pagina"/>
    <hyperlink ref="K93" r:id="rId92" display="apri pagina"/>
    <hyperlink ref="K94" r:id="rId93" display="apri pagina"/>
    <hyperlink ref="K95" r:id="rId94" display="apri pagina"/>
    <hyperlink ref="K96" r:id="rId95" display="apri pagina"/>
    <hyperlink ref="K97" r:id="rId96" display="apri pagina"/>
    <hyperlink ref="K98" r:id="rId97" display="apri pagina"/>
    <hyperlink ref="K99" r:id="rId98" display="apri pagina"/>
    <hyperlink ref="K100" r:id="rId99" display="apri pagina"/>
    <hyperlink ref="K101" r:id="rId100" display="apri pagina"/>
    <hyperlink ref="K102" r:id="rId101" display="apri pagina"/>
    <hyperlink ref="K103" r:id="rId102" display="apri pagina"/>
    <hyperlink ref="K104" r:id="rId103" display="apri pagina"/>
    <hyperlink ref="K105" r:id="rId104" display="apri pagina"/>
    <hyperlink ref="K106" r:id="rId105" display="apri pagina"/>
    <hyperlink ref="K107" r:id="rId106" display="apri pagina"/>
    <hyperlink ref="K108" r:id="rId107" display="apri pagina"/>
    <hyperlink ref="K109" r:id="rId108" display="apri pagina"/>
    <hyperlink ref="K110" r:id="rId109" display="apri pagina"/>
    <hyperlink ref="K111" r:id="rId110" display="apri pagina"/>
    <hyperlink ref="K112" r:id="rId111" display="apri pagina"/>
    <hyperlink ref="K113" r:id="rId112" display="apri pagina"/>
    <hyperlink ref="K114" r:id="rId113" display="apri pagina"/>
    <hyperlink ref="K115" r:id="rId114" display="apri pagina"/>
    <hyperlink ref="K116" r:id="rId115" display="apri pagina"/>
    <hyperlink ref="K117" r:id="rId116" display="apri pagina"/>
    <hyperlink ref="K118" r:id="rId117" display="apri pagina"/>
    <hyperlink ref="K119" r:id="rId118" display="apri pagina"/>
    <hyperlink ref="K120" r:id="rId119" display="apri pagina"/>
    <hyperlink ref="K121" r:id="rId120" display="apri pagina"/>
    <hyperlink ref="K122" r:id="rId121" display="apri pagina"/>
    <hyperlink ref="K123" r:id="rId122" display="apri pagina"/>
    <hyperlink ref="K124" r:id="rId123" display="apri pagina"/>
    <hyperlink ref="K125" r:id="rId124" display="apri pagina"/>
    <hyperlink ref="K126" r:id="rId125" display="apri pagina"/>
    <hyperlink ref="K127" r:id="rId126" display="apri pagina"/>
    <hyperlink ref="K128" r:id="rId127" display="apri pagina"/>
    <hyperlink ref="K129" r:id="rId128" display="apri pagina"/>
    <hyperlink ref="K130" r:id="rId129" display="apri pagina"/>
    <hyperlink ref="K131" r:id="rId130" display="apri pagina"/>
    <hyperlink ref="K132" r:id="rId131" display="apri pagina"/>
    <hyperlink ref="K133" r:id="rId132" display="apri pagina"/>
    <hyperlink ref="K134" r:id="rId133" display="apri pagina"/>
    <hyperlink ref="K135" r:id="rId134" display="apri pagina"/>
    <hyperlink ref="K136" r:id="rId135" display="apri pagina"/>
    <hyperlink ref="K137" r:id="rId136" display="apri pagina"/>
    <hyperlink ref="K138" r:id="rId137" display="apri pagina"/>
    <hyperlink ref="K139" r:id="rId138" display="apri pagina"/>
    <hyperlink ref="K140" r:id="rId139" display="apri pagina"/>
    <hyperlink ref="K141" r:id="rId140" display="apri pagina"/>
    <hyperlink ref="K142" r:id="rId141" display="apri pagina"/>
    <hyperlink ref="K143" r:id="rId142" display="apri pagina"/>
    <hyperlink ref="K144" r:id="rId143" display="apri pagina"/>
    <hyperlink ref="K145" r:id="rId144" display="apri pagina"/>
    <hyperlink ref="K146" r:id="rId145" display="apri pagina"/>
    <hyperlink ref="K147" r:id="rId146" display="apri pagina"/>
    <hyperlink ref="K148" r:id="rId147" display="apri pagina"/>
    <hyperlink ref="K149" r:id="rId148" display="apri pagina"/>
    <hyperlink ref="K150" r:id="rId149" display="apri pagina"/>
    <hyperlink ref="K151" r:id="rId150" display="apri pagina"/>
    <hyperlink ref="K152" r:id="rId151" display="apri pagina"/>
    <hyperlink ref="K153" r:id="rId152" display="apri pagina"/>
    <hyperlink ref="K154" r:id="rId153" display="apri pagina"/>
    <hyperlink ref="K155" r:id="rId154" display="apri pagina"/>
    <hyperlink ref="K156" r:id="rId155" display="apri pagina"/>
    <hyperlink ref="K157" r:id="rId156" display="apri pagina"/>
    <hyperlink ref="K158" r:id="rId157" display="apri pagina"/>
    <hyperlink ref="K159" r:id="rId158" display="apri pagina"/>
    <hyperlink ref="K160" r:id="rId159" display="apri pagina"/>
    <hyperlink ref="K161" r:id="rId160" display="apri pagina"/>
    <hyperlink ref="K162" r:id="rId161" display="apri pagina"/>
    <hyperlink ref="K163" r:id="rId162" display="apri pagina"/>
    <hyperlink ref="K164" r:id="rId163" display="apri pagina"/>
    <hyperlink ref="K165" r:id="rId164" display="apri pagina"/>
    <hyperlink ref="K166" r:id="rId165" display="apri pagina"/>
    <hyperlink ref="K167" r:id="rId166" display="apri pagin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3" t="s">
        <v>329</v>
      </c>
    </row>
    <row r="3" customFormat="false" ht="15" hidden="false" customHeight="false" outlineLevel="0" collapsed="false">
      <c r="A3" s="6" t="s">
        <v>330</v>
      </c>
    </row>
    <row r="5" customFormat="false" ht="25.5" hidden="false" customHeight="true" outlineLevel="0" collapsed="false">
      <c r="A5" s="8" t="s">
        <v>20</v>
      </c>
      <c r="B5" s="8" t="s">
        <v>331</v>
      </c>
      <c r="C5" s="8" t="s">
        <v>332</v>
      </c>
      <c r="D5" s="8" t="s">
        <v>333</v>
      </c>
      <c r="E5" s="8" t="s">
        <v>334</v>
      </c>
      <c r="F5" s="8" t="s">
        <v>335</v>
      </c>
    </row>
    <row r="6" customFormat="false" ht="15" hidden="false" customHeight="false" outlineLevel="0" collapsed="false">
      <c r="A6" s="14" t="s">
        <v>140</v>
      </c>
      <c r="B6" s="9" t="n">
        <v>151</v>
      </c>
      <c r="C6" s="9" t="n">
        <f aca="false">COUNTIF('Dettaglio confronti'!C:C,A6)</f>
        <v>50</v>
      </c>
      <c r="D6" s="9" t="n">
        <v>34</v>
      </c>
      <c r="E6" s="15" t="n">
        <v>0.0822624943078324</v>
      </c>
      <c r="F6" s="9" t="s">
        <v>336</v>
      </c>
    </row>
    <row r="7" customFormat="false" ht="15" hidden="false" customHeight="false" outlineLevel="0" collapsed="false">
      <c r="A7" s="14" t="s">
        <v>137</v>
      </c>
      <c r="B7" s="9" t="n">
        <v>72</v>
      </c>
      <c r="C7" s="9" t="n">
        <f aca="false">COUNTIF('Dettaglio confronti'!C:C,A7)</f>
        <v>1</v>
      </c>
      <c r="D7" s="9" t="n">
        <v>1</v>
      </c>
      <c r="E7" s="15" t="n">
        <v>0.342434584755404</v>
      </c>
      <c r="F7" s="9" t="s">
        <v>337</v>
      </c>
    </row>
    <row r="8" customFormat="false" ht="15" hidden="false" customHeight="false" outlineLevel="0" collapsed="false">
      <c r="A8" s="14" t="s">
        <v>266</v>
      </c>
      <c r="B8" s="9" t="n">
        <v>68</v>
      </c>
      <c r="C8" s="9" t="n">
        <f aca="false">COUNTIF('Dettaglio confronti'!C:C,A8)</f>
        <v>42</v>
      </c>
      <c r="D8" s="9" t="n">
        <v>27</v>
      </c>
      <c r="E8" s="15" t="n">
        <v>0.14375</v>
      </c>
      <c r="F8" s="9" t="s">
        <v>338</v>
      </c>
    </row>
    <row r="9" customFormat="false" ht="15" hidden="false" customHeight="false" outlineLevel="0" collapsed="false">
      <c r="A9" s="14" t="s">
        <v>339</v>
      </c>
      <c r="B9" s="9" t="n">
        <v>56</v>
      </c>
      <c r="C9" s="9" t="n">
        <f aca="false">COUNTIF('Dettaglio confronti'!C:C,A9)</f>
        <v>0</v>
      </c>
      <c r="D9" s="9" t="n">
        <v>0</v>
      </c>
      <c r="E9" s="15"/>
      <c r="F9" s="9" t="s">
        <v>340</v>
      </c>
    </row>
    <row r="10" customFormat="false" ht="15" hidden="false" customHeight="false" outlineLevel="0" collapsed="false">
      <c r="A10" s="14" t="s">
        <v>32</v>
      </c>
      <c r="B10" s="9" t="n">
        <v>53</v>
      </c>
      <c r="C10" s="9" t="n">
        <f aca="false">COUNTIF('Dettaglio confronti'!C:C,A10)</f>
        <v>46</v>
      </c>
      <c r="D10" s="9" t="n">
        <v>31</v>
      </c>
      <c r="E10" s="15" t="n">
        <v>0.0759493670886075</v>
      </c>
      <c r="F10" s="9" t="s">
        <v>341</v>
      </c>
    </row>
    <row r="11" customFormat="false" ht="15" hidden="false" customHeight="false" outlineLevel="0" collapsed="false">
      <c r="A11" s="14" t="s">
        <v>342</v>
      </c>
      <c r="B11" s="9" t="n">
        <v>39</v>
      </c>
      <c r="C11" s="9" t="n">
        <f aca="false">COUNTIF('Dettaglio confronti'!C:C,A11)</f>
        <v>0</v>
      </c>
      <c r="D11" s="9" t="n">
        <v>0</v>
      </c>
      <c r="E11" s="15"/>
      <c r="F11" s="9" t="s">
        <v>343</v>
      </c>
    </row>
    <row r="12" customFormat="false" ht="15" hidden="false" customHeight="false" outlineLevel="0" collapsed="false">
      <c r="A12" s="14" t="s">
        <v>122</v>
      </c>
      <c r="B12" s="9" t="n">
        <v>34</v>
      </c>
      <c r="C12" s="9" t="n">
        <f aca="false">COUNTIF('Dettaglio confronti'!C:C,A12)</f>
        <v>2</v>
      </c>
      <c r="D12" s="9" t="n">
        <v>2</v>
      </c>
      <c r="E12" s="15" t="n">
        <v>1.16886118368325</v>
      </c>
      <c r="F12" s="9" t="s">
        <v>344</v>
      </c>
    </row>
    <row r="13" customFormat="false" ht="15" hidden="false" customHeight="false" outlineLevel="0" collapsed="false">
      <c r="A13" s="14" t="s">
        <v>232</v>
      </c>
      <c r="B13" s="9" t="n">
        <v>29</v>
      </c>
      <c r="C13" s="9" t="n">
        <f aca="false">COUNTIF('Dettaglio confronti'!C:C,A13)</f>
        <v>10</v>
      </c>
      <c r="D13" s="9" t="n">
        <v>10</v>
      </c>
      <c r="E13" s="15" t="n">
        <v>0.107782879146919</v>
      </c>
      <c r="F13" s="9" t="s">
        <v>345</v>
      </c>
    </row>
    <row r="14" customFormat="false" ht="15" hidden="false" customHeight="false" outlineLevel="0" collapsed="false">
      <c r="A14" s="14" t="s">
        <v>346</v>
      </c>
      <c r="B14" s="9" t="n">
        <v>24</v>
      </c>
      <c r="C14" s="9" t="n">
        <f aca="false">COUNTIF('Dettaglio confronti'!C:C,A14)</f>
        <v>0</v>
      </c>
      <c r="D14" s="9" t="n">
        <v>0</v>
      </c>
      <c r="E14" s="15"/>
      <c r="F14" s="9" t="s">
        <v>343</v>
      </c>
    </row>
    <row r="15" customFormat="false" ht="15" hidden="false" customHeight="false" outlineLevel="0" collapsed="false">
      <c r="A15" s="14" t="s">
        <v>128</v>
      </c>
      <c r="B15" s="9" t="n">
        <v>16</v>
      </c>
      <c r="C15" s="9" t="n">
        <f aca="false">COUNTIF('Dettaglio confronti'!C:C,A15)</f>
        <v>1</v>
      </c>
      <c r="D15" s="9" t="n">
        <v>1</v>
      </c>
      <c r="E15" s="15" t="n">
        <v>0.254964257347101</v>
      </c>
      <c r="F15" s="9" t="s">
        <v>347</v>
      </c>
    </row>
    <row r="16" customFormat="false" ht="15" hidden="false" customHeight="false" outlineLevel="0" collapsed="false">
      <c r="A16" s="14" t="s">
        <v>131</v>
      </c>
      <c r="B16" s="9" t="n">
        <v>14</v>
      </c>
      <c r="C16" s="9" t="n">
        <f aca="false">COUNTIF('Dettaglio confronti'!C:C,A16)</f>
        <v>5</v>
      </c>
      <c r="D16" s="9" t="n">
        <v>2</v>
      </c>
      <c r="E16" s="15" t="n">
        <v>0.119295441476287</v>
      </c>
      <c r="F16" s="9" t="s">
        <v>348</v>
      </c>
    </row>
    <row r="17" customFormat="false" ht="15" hidden="false" customHeight="false" outlineLevel="0" collapsed="false">
      <c r="A17" s="14" t="s">
        <v>110</v>
      </c>
      <c r="B17" s="9" t="n">
        <v>9</v>
      </c>
      <c r="C17" s="9" t="n">
        <f aca="false">COUNTIF('Dettaglio confronti'!C:C,A17)</f>
        <v>5</v>
      </c>
      <c r="D17" s="9" t="n">
        <v>5</v>
      </c>
      <c r="E17" s="15" t="n">
        <v>0.0425975573428656</v>
      </c>
      <c r="F17" s="9" t="s">
        <v>349</v>
      </c>
    </row>
    <row r="18" customFormat="false" ht="15" hidden="false" customHeight="false" outlineLevel="0" collapsed="false">
      <c r="A18" s="14" t="s">
        <v>257</v>
      </c>
      <c r="B18" s="9" t="n">
        <v>7</v>
      </c>
      <c r="C18" s="9" t="n">
        <f aca="false">COUNTIF('Dettaglio confronti'!C:C,A18)</f>
        <v>4</v>
      </c>
      <c r="D18" s="9" t="n">
        <v>4</v>
      </c>
      <c r="E18" s="15" t="n">
        <v>-0.025062656641604</v>
      </c>
      <c r="F18" s="9" t="s">
        <v>350</v>
      </c>
    </row>
    <row r="20" customFormat="false" ht="15" hidden="false" customHeight="false" outlineLevel="0" collapsed="false">
      <c r="A20" s="6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3" t="s">
        <v>352</v>
      </c>
    </row>
    <row r="3" customFormat="false" ht="25.5" hidden="false" customHeight="true" outlineLevel="0" collapsed="false">
      <c r="A3" s="8" t="s">
        <v>18</v>
      </c>
      <c r="B3" s="8" t="s">
        <v>353</v>
      </c>
      <c r="C3" s="8" t="s">
        <v>21</v>
      </c>
      <c r="D3" s="8" t="s">
        <v>22</v>
      </c>
      <c r="E3" s="8" t="s">
        <v>354</v>
      </c>
      <c r="F3" s="8" t="s">
        <v>355</v>
      </c>
      <c r="G3" s="8" t="s">
        <v>25</v>
      </c>
      <c r="H3" s="8" t="s">
        <v>26</v>
      </c>
      <c r="I3" s="8" t="s">
        <v>356</v>
      </c>
      <c r="J3" s="8" t="s">
        <v>357</v>
      </c>
    </row>
    <row r="4" customFormat="false" ht="15" hidden="false" customHeight="false" outlineLevel="0" collapsed="false">
      <c r="A4" s="9" t="s">
        <v>358</v>
      </c>
      <c r="B4" s="9" t="s">
        <v>359</v>
      </c>
      <c r="C4" s="9" t="s">
        <v>360</v>
      </c>
      <c r="D4" s="10" t="n">
        <v>419</v>
      </c>
      <c r="E4" s="9" t="s">
        <v>34</v>
      </c>
      <c r="F4" s="9" t="s">
        <v>361</v>
      </c>
      <c r="G4" s="10" t="n">
        <v>414</v>
      </c>
      <c r="H4" s="9" t="s">
        <v>36</v>
      </c>
      <c r="I4" s="9" t="s">
        <v>362</v>
      </c>
      <c r="J4" s="12" t="s">
        <v>363</v>
      </c>
    </row>
    <row r="5" customFormat="false" ht="15" hidden="false" customHeight="false" outlineLevel="0" collapsed="false">
      <c r="A5" s="9" t="s">
        <v>358</v>
      </c>
      <c r="B5" s="9" t="s">
        <v>359</v>
      </c>
      <c r="C5" s="9" t="s">
        <v>360</v>
      </c>
      <c r="D5" s="10" t="n">
        <v>419</v>
      </c>
      <c r="E5" s="9" t="s">
        <v>229</v>
      </c>
      <c r="F5" s="9" t="s">
        <v>361</v>
      </c>
      <c r="G5" s="10" t="n">
        <v>403.9</v>
      </c>
      <c r="H5" s="9" t="s">
        <v>364</v>
      </c>
      <c r="I5" s="9" t="s">
        <v>365</v>
      </c>
      <c r="J5" s="12" t="s">
        <v>363</v>
      </c>
    </row>
    <row r="6" customFormat="false" ht="15" hidden="false" customHeight="false" outlineLevel="0" collapsed="false">
      <c r="A6" s="9" t="s">
        <v>358</v>
      </c>
      <c r="B6" s="9" t="s">
        <v>359</v>
      </c>
      <c r="C6" s="9" t="s">
        <v>360</v>
      </c>
      <c r="D6" s="10" t="n">
        <v>419</v>
      </c>
      <c r="E6" s="9" t="s">
        <v>39</v>
      </c>
      <c r="F6" s="9" t="s">
        <v>361</v>
      </c>
      <c r="G6" s="10" t="n">
        <v>409.29</v>
      </c>
      <c r="H6" s="9" t="s">
        <v>36</v>
      </c>
      <c r="I6" s="9" t="s">
        <v>366</v>
      </c>
      <c r="J6" s="12" t="s">
        <v>363</v>
      </c>
    </row>
    <row r="7" customFormat="false" ht="15" hidden="false" customHeight="false" outlineLevel="0" collapsed="false">
      <c r="A7" s="9" t="s">
        <v>367</v>
      </c>
      <c r="B7" s="9" t="s">
        <v>368</v>
      </c>
      <c r="C7" s="9" t="s">
        <v>360</v>
      </c>
      <c r="D7" s="10" t="n">
        <v>485</v>
      </c>
      <c r="E7" s="9" t="s">
        <v>34</v>
      </c>
      <c r="F7" s="9" t="s">
        <v>369</v>
      </c>
      <c r="G7" s="10" t="n">
        <v>437.99</v>
      </c>
      <c r="H7" s="9" t="s">
        <v>40</v>
      </c>
      <c r="I7" s="9" t="s">
        <v>370</v>
      </c>
      <c r="J7" s="12" t="s">
        <v>363</v>
      </c>
    </row>
    <row r="8" customFormat="false" ht="15" hidden="false" customHeight="false" outlineLevel="0" collapsed="false">
      <c r="A8" s="9" t="s">
        <v>367</v>
      </c>
      <c r="B8" s="9" t="s">
        <v>368</v>
      </c>
      <c r="C8" s="9" t="s">
        <v>360</v>
      </c>
      <c r="D8" s="10" t="n">
        <v>485</v>
      </c>
      <c r="E8" s="9" t="s">
        <v>142</v>
      </c>
      <c r="F8" s="9" t="s">
        <v>369</v>
      </c>
      <c r="G8" s="10" t="n">
        <v>435</v>
      </c>
      <c r="H8" s="9" t="s">
        <v>36</v>
      </c>
      <c r="I8" s="9" t="s">
        <v>371</v>
      </c>
      <c r="J8" s="12" t="s">
        <v>363</v>
      </c>
    </row>
    <row r="9" customFormat="false" ht="15" hidden="false" customHeight="false" outlineLevel="0" collapsed="false">
      <c r="A9" s="9" t="s">
        <v>372</v>
      </c>
      <c r="B9" s="9" t="s">
        <v>373</v>
      </c>
      <c r="C9" s="9" t="s">
        <v>360</v>
      </c>
      <c r="D9" s="10" t="n">
        <v>235</v>
      </c>
      <c r="E9" s="9" t="s">
        <v>34</v>
      </c>
      <c r="F9" s="9" t="s">
        <v>361</v>
      </c>
      <c r="G9" s="10" t="n">
        <v>209.99</v>
      </c>
      <c r="H9" s="9" t="s">
        <v>36</v>
      </c>
      <c r="I9" s="9" t="s">
        <v>374</v>
      </c>
      <c r="J9" s="12" t="s">
        <v>363</v>
      </c>
    </row>
    <row r="10" customFormat="false" ht="15" hidden="false" customHeight="false" outlineLevel="0" collapsed="false">
      <c r="A10" s="9" t="s">
        <v>372</v>
      </c>
      <c r="B10" s="9" t="s">
        <v>373</v>
      </c>
      <c r="C10" s="9" t="s">
        <v>360</v>
      </c>
      <c r="D10" s="10" t="n">
        <v>235</v>
      </c>
      <c r="E10" s="9" t="s">
        <v>39</v>
      </c>
      <c r="F10" s="9" t="s">
        <v>369</v>
      </c>
      <c r="G10" s="10" t="n">
        <v>231.31</v>
      </c>
      <c r="H10" s="9" t="s">
        <v>40</v>
      </c>
      <c r="I10" s="9" t="s">
        <v>375</v>
      </c>
      <c r="J10" s="12" t="s">
        <v>363</v>
      </c>
    </row>
    <row r="11" customFormat="false" ht="15" hidden="false" customHeight="false" outlineLevel="0" collapsed="false">
      <c r="A11" s="9" t="s">
        <v>376</v>
      </c>
      <c r="B11" s="9" t="s">
        <v>377</v>
      </c>
      <c r="C11" s="9" t="s">
        <v>360</v>
      </c>
      <c r="D11" s="10" t="n">
        <v>189</v>
      </c>
      <c r="E11" s="9" t="s">
        <v>34</v>
      </c>
      <c r="F11" s="9" t="s">
        <v>361</v>
      </c>
      <c r="G11" s="10" t="n">
        <v>169.99</v>
      </c>
      <c r="H11" s="9" t="s">
        <v>36</v>
      </c>
      <c r="I11" s="9" t="s">
        <v>378</v>
      </c>
      <c r="J11" s="12" t="s">
        <v>363</v>
      </c>
    </row>
    <row r="12" customFormat="false" ht="15" hidden="false" customHeight="false" outlineLevel="0" collapsed="false">
      <c r="A12" s="9" t="s">
        <v>376</v>
      </c>
      <c r="B12" s="9" t="s">
        <v>377</v>
      </c>
      <c r="C12" s="9" t="s">
        <v>360</v>
      </c>
      <c r="D12" s="10" t="n">
        <v>189</v>
      </c>
      <c r="E12" s="9" t="s">
        <v>142</v>
      </c>
      <c r="F12" s="9" t="s">
        <v>361</v>
      </c>
      <c r="G12" s="10" t="n">
        <v>154</v>
      </c>
      <c r="H12" s="9" t="s">
        <v>40</v>
      </c>
      <c r="I12" s="9" t="s">
        <v>379</v>
      </c>
      <c r="J12" s="12" t="s">
        <v>363</v>
      </c>
    </row>
    <row r="13" customFormat="false" ht="15" hidden="false" customHeight="false" outlineLevel="0" collapsed="false">
      <c r="A13" s="9" t="s">
        <v>380</v>
      </c>
      <c r="B13" s="9" t="s">
        <v>381</v>
      </c>
      <c r="C13" s="9" t="s">
        <v>360</v>
      </c>
      <c r="D13" s="10" t="n">
        <v>99.5</v>
      </c>
      <c r="E13" s="9" t="s">
        <v>34</v>
      </c>
      <c r="F13" s="9" t="s">
        <v>361</v>
      </c>
      <c r="G13" s="10" t="n">
        <v>105.09</v>
      </c>
      <c r="H13" s="9" t="s">
        <v>36</v>
      </c>
      <c r="I13" s="9" t="s">
        <v>382</v>
      </c>
      <c r="J13" s="12" t="s">
        <v>363</v>
      </c>
    </row>
    <row r="14" customFormat="false" ht="15" hidden="false" customHeight="false" outlineLevel="0" collapsed="false">
      <c r="A14" s="9" t="s">
        <v>380</v>
      </c>
      <c r="B14" s="9" t="s">
        <v>381</v>
      </c>
      <c r="C14" s="9" t="s">
        <v>360</v>
      </c>
      <c r="D14" s="10" t="n">
        <v>99.5</v>
      </c>
      <c r="E14" s="9" t="s">
        <v>39</v>
      </c>
      <c r="F14" s="9" t="s">
        <v>361</v>
      </c>
      <c r="G14" s="10" t="n">
        <v>96.95</v>
      </c>
      <c r="H14" s="9" t="s">
        <v>36</v>
      </c>
      <c r="I14" s="9" t="s">
        <v>383</v>
      </c>
      <c r="J14" s="12" t="s">
        <v>363</v>
      </c>
    </row>
    <row r="15" customFormat="false" ht="15" hidden="false" customHeight="false" outlineLevel="0" collapsed="false">
      <c r="A15" s="9" t="s">
        <v>384</v>
      </c>
      <c r="B15" s="9" t="s">
        <v>385</v>
      </c>
      <c r="C15" s="9" t="s">
        <v>360</v>
      </c>
      <c r="D15" s="10" t="n">
        <v>149</v>
      </c>
      <c r="E15" s="9" t="s">
        <v>34</v>
      </c>
      <c r="F15" s="9" t="s">
        <v>361</v>
      </c>
      <c r="G15" s="10" t="n">
        <v>134.99</v>
      </c>
      <c r="H15" s="9" t="s">
        <v>40</v>
      </c>
      <c r="I15" s="9" t="s">
        <v>386</v>
      </c>
      <c r="J15" s="12" t="s">
        <v>363</v>
      </c>
    </row>
    <row r="16" customFormat="false" ht="15" hidden="false" customHeight="false" outlineLevel="0" collapsed="false">
      <c r="A16" s="9" t="s">
        <v>384</v>
      </c>
      <c r="B16" s="9" t="s">
        <v>385</v>
      </c>
      <c r="C16" s="9" t="s">
        <v>360</v>
      </c>
      <c r="D16" s="10" t="n">
        <v>149</v>
      </c>
      <c r="E16" s="9" t="s">
        <v>387</v>
      </c>
      <c r="F16" s="9" t="s">
        <v>361</v>
      </c>
      <c r="G16" s="10" t="n">
        <v>140</v>
      </c>
      <c r="H16" s="9" t="s">
        <v>36</v>
      </c>
      <c r="I16" s="9" t="s">
        <v>388</v>
      </c>
      <c r="J16" s="12" t="s">
        <v>363</v>
      </c>
    </row>
    <row r="17" customFormat="false" ht="15" hidden="false" customHeight="false" outlineLevel="0" collapsed="false">
      <c r="A17" s="9" t="s">
        <v>384</v>
      </c>
      <c r="B17" s="9" t="s">
        <v>385</v>
      </c>
      <c r="C17" s="9" t="s">
        <v>360</v>
      </c>
      <c r="D17" s="10" t="n">
        <v>149</v>
      </c>
      <c r="E17" s="9" t="s">
        <v>389</v>
      </c>
      <c r="F17" s="9" t="s">
        <v>361</v>
      </c>
      <c r="G17" s="10" t="n">
        <v>159.5</v>
      </c>
      <c r="H17" s="9" t="s">
        <v>36</v>
      </c>
      <c r="I17" s="9" t="s">
        <v>390</v>
      </c>
      <c r="J17" s="12" t="s">
        <v>363</v>
      </c>
    </row>
    <row r="18" customFormat="false" ht="15" hidden="false" customHeight="false" outlineLevel="0" collapsed="false">
      <c r="A18" s="9" t="s">
        <v>384</v>
      </c>
      <c r="B18" s="9" t="s">
        <v>385</v>
      </c>
      <c r="C18" s="9" t="s">
        <v>360</v>
      </c>
      <c r="D18" s="10" t="n">
        <v>149</v>
      </c>
      <c r="E18" s="9" t="s">
        <v>39</v>
      </c>
      <c r="F18" s="9" t="s">
        <v>361</v>
      </c>
      <c r="G18" s="10" t="n">
        <v>143.95</v>
      </c>
      <c r="H18" s="9" t="s">
        <v>40</v>
      </c>
      <c r="I18" s="9" t="s">
        <v>391</v>
      </c>
      <c r="J18" s="12" t="s">
        <v>363</v>
      </c>
    </row>
    <row r="19" customFormat="false" ht="15" hidden="false" customHeight="false" outlineLevel="0" collapsed="false">
      <c r="A19" s="9" t="s">
        <v>384</v>
      </c>
      <c r="B19" s="9" t="s">
        <v>385</v>
      </c>
      <c r="C19" s="9" t="s">
        <v>360</v>
      </c>
      <c r="D19" s="10" t="n">
        <v>149</v>
      </c>
      <c r="E19" s="9" t="s">
        <v>229</v>
      </c>
      <c r="F19" s="9" t="s">
        <v>369</v>
      </c>
      <c r="G19" s="10" t="n">
        <v>151.4</v>
      </c>
      <c r="H19" s="9" t="s">
        <v>364</v>
      </c>
      <c r="I19" s="9" t="s">
        <v>392</v>
      </c>
      <c r="J19" s="12" t="s">
        <v>363</v>
      </c>
    </row>
    <row r="20" customFormat="false" ht="15" hidden="false" customHeight="false" outlineLevel="0" collapsed="false">
      <c r="A20" s="9" t="s">
        <v>393</v>
      </c>
      <c r="B20" s="9" t="s">
        <v>394</v>
      </c>
      <c r="C20" s="9" t="s">
        <v>119</v>
      </c>
      <c r="D20" s="10" t="n">
        <v>289.9</v>
      </c>
      <c r="E20" s="9" t="s">
        <v>39</v>
      </c>
      <c r="F20" s="9" t="s">
        <v>361</v>
      </c>
      <c r="G20" s="10" t="n">
        <v>341.95</v>
      </c>
      <c r="H20" s="9" t="s">
        <v>36</v>
      </c>
      <c r="I20" s="9" t="s">
        <v>395</v>
      </c>
      <c r="J20" s="12" t="s">
        <v>363</v>
      </c>
    </row>
    <row r="21" customFormat="false" ht="15" hidden="false" customHeight="false" outlineLevel="0" collapsed="false">
      <c r="A21" s="9" t="s">
        <v>393</v>
      </c>
      <c r="B21" s="9" t="s">
        <v>394</v>
      </c>
      <c r="C21" s="9" t="s">
        <v>119</v>
      </c>
      <c r="D21" s="10" t="n">
        <v>289.9</v>
      </c>
      <c r="E21" s="9" t="s">
        <v>34</v>
      </c>
      <c r="F21" s="9" t="s">
        <v>369</v>
      </c>
      <c r="G21" s="10" t="n">
        <v>299.99</v>
      </c>
      <c r="H21" s="9" t="s">
        <v>36</v>
      </c>
      <c r="I21" s="9" t="s">
        <v>396</v>
      </c>
      <c r="J21" s="12" t="s">
        <v>363</v>
      </c>
    </row>
    <row r="22" customFormat="false" ht="15" hidden="false" customHeight="false" outlineLevel="0" collapsed="false">
      <c r="A22" s="9" t="s">
        <v>397</v>
      </c>
      <c r="B22" s="9" t="s">
        <v>398</v>
      </c>
      <c r="C22" s="9" t="s">
        <v>119</v>
      </c>
      <c r="D22" s="10" t="n">
        <v>145</v>
      </c>
      <c r="E22" s="9" t="s">
        <v>39</v>
      </c>
      <c r="F22" s="9" t="s">
        <v>361</v>
      </c>
      <c r="G22" s="10" t="n">
        <v>145.18</v>
      </c>
      <c r="H22" s="9" t="s">
        <v>40</v>
      </c>
      <c r="I22" s="9" t="s">
        <v>399</v>
      </c>
      <c r="J22" s="12" t="s">
        <v>363</v>
      </c>
    </row>
    <row r="23" customFormat="false" ht="15" hidden="false" customHeight="false" outlineLevel="0" collapsed="false">
      <c r="A23" s="9" t="s">
        <v>400</v>
      </c>
      <c r="B23" s="9" t="s">
        <v>401</v>
      </c>
      <c r="C23" s="9" t="s">
        <v>119</v>
      </c>
      <c r="D23" s="10" t="n">
        <v>359.5</v>
      </c>
      <c r="E23" s="9" t="s">
        <v>34</v>
      </c>
      <c r="F23" s="9" t="s">
        <v>369</v>
      </c>
      <c r="G23" s="10" t="n">
        <v>594</v>
      </c>
      <c r="H23" s="9" t="s">
        <v>36</v>
      </c>
      <c r="I23" s="9" t="s">
        <v>402</v>
      </c>
      <c r="J23" s="12" t="s">
        <v>363</v>
      </c>
    </row>
    <row r="24" customFormat="false" ht="15" hidden="false" customHeight="false" outlineLevel="0" collapsed="false">
      <c r="A24" s="9" t="s">
        <v>400</v>
      </c>
      <c r="B24" s="9" t="s">
        <v>401</v>
      </c>
      <c r="C24" s="9" t="s">
        <v>119</v>
      </c>
      <c r="D24" s="10" t="n">
        <v>359.5</v>
      </c>
      <c r="E24" s="9" t="s">
        <v>142</v>
      </c>
      <c r="F24" s="9" t="s">
        <v>369</v>
      </c>
      <c r="G24" s="10" t="n">
        <v>652</v>
      </c>
      <c r="H24" s="9" t="s">
        <v>40</v>
      </c>
      <c r="I24" s="9" t="s">
        <v>403</v>
      </c>
      <c r="J24" s="12" t="s">
        <v>363</v>
      </c>
    </row>
    <row r="25" customFormat="false" ht="15" hidden="false" customHeight="false" outlineLevel="0" collapsed="false">
      <c r="A25" s="9" t="s">
        <v>404</v>
      </c>
      <c r="B25" s="9" t="s">
        <v>405</v>
      </c>
      <c r="C25" s="9" t="s">
        <v>119</v>
      </c>
      <c r="D25" s="10" t="n">
        <v>274</v>
      </c>
      <c r="E25" s="9" t="s">
        <v>34</v>
      </c>
      <c r="F25" s="9" t="s">
        <v>361</v>
      </c>
      <c r="G25" s="10" t="n">
        <v>257.89</v>
      </c>
      <c r="H25" s="9" t="s">
        <v>36</v>
      </c>
      <c r="I25" s="9" t="s">
        <v>406</v>
      </c>
      <c r="J25" s="12" t="s">
        <v>363</v>
      </c>
    </row>
    <row r="26" customFormat="false" ht="15" hidden="false" customHeight="false" outlineLevel="0" collapsed="false">
      <c r="A26" s="9" t="s">
        <v>407</v>
      </c>
      <c r="B26" s="9" t="s">
        <v>408</v>
      </c>
      <c r="C26" s="9" t="s">
        <v>119</v>
      </c>
      <c r="D26" s="10" t="n">
        <v>559</v>
      </c>
      <c r="E26" s="9" t="s">
        <v>34</v>
      </c>
      <c r="F26" s="9" t="s">
        <v>369</v>
      </c>
      <c r="G26" s="10" t="n">
        <v>739.99</v>
      </c>
      <c r="H26" s="9" t="s">
        <v>40</v>
      </c>
      <c r="I26" s="9" t="s">
        <v>409</v>
      </c>
      <c r="J26" s="12" t="s">
        <v>363</v>
      </c>
    </row>
    <row r="27" customFormat="false" ht="15" hidden="false" customHeight="false" outlineLevel="0" collapsed="false">
      <c r="A27" s="9" t="s">
        <v>410</v>
      </c>
      <c r="B27" s="9" t="s">
        <v>411</v>
      </c>
      <c r="C27" s="9" t="s">
        <v>412</v>
      </c>
      <c r="D27" s="10" t="n">
        <v>17.98</v>
      </c>
      <c r="E27" s="9" t="s">
        <v>34</v>
      </c>
      <c r="F27" s="9" t="s">
        <v>361</v>
      </c>
      <c r="G27" s="10" t="n">
        <v>16.9</v>
      </c>
      <c r="H27" s="9" t="s">
        <v>36</v>
      </c>
      <c r="I27" s="9" t="s">
        <v>413</v>
      </c>
      <c r="J27" s="12" t="s">
        <v>363</v>
      </c>
    </row>
    <row r="28" customFormat="false" ht="15" hidden="false" customHeight="false" outlineLevel="0" collapsed="false">
      <c r="A28" s="9" t="s">
        <v>410</v>
      </c>
      <c r="B28" s="9" t="s">
        <v>411</v>
      </c>
      <c r="C28" s="9" t="s">
        <v>412</v>
      </c>
      <c r="D28" s="10" t="n">
        <v>17.98</v>
      </c>
      <c r="E28" s="9" t="s">
        <v>39</v>
      </c>
      <c r="F28" s="9" t="s">
        <v>369</v>
      </c>
      <c r="G28" s="10" t="n">
        <v>17.69</v>
      </c>
      <c r="H28" s="9" t="s">
        <v>36</v>
      </c>
      <c r="I28" s="9" t="s">
        <v>414</v>
      </c>
      <c r="J28" s="12" t="s">
        <v>363</v>
      </c>
    </row>
    <row r="29" customFormat="false" ht="15" hidden="false" customHeight="false" outlineLevel="0" collapsed="false">
      <c r="A29" s="9" t="s">
        <v>415</v>
      </c>
      <c r="B29" s="9" t="s">
        <v>139</v>
      </c>
      <c r="C29" s="9" t="s">
        <v>412</v>
      </c>
      <c r="D29" s="10" t="n">
        <v>6.98</v>
      </c>
      <c r="E29" s="9" t="s">
        <v>34</v>
      </c>
      <c r="F29" s="9" t="s">
        <v>361</v>
      </c>
      <c r="G29" s="10" t="n">
        <v>7.99</v>
      </c>
      <c r="H29" s="9" t="s">
        <v>36</v>
      </c>
      <c r="I29" s="9" t="s">
        <v>416</v>
      </c>
      <c r="J29" s="12" t="s">
        <v>363</v>
      </c>
    </row>
    <row r="30" customFormat="false" ht="15" hidden="false" customHeight="false" outlineLevel="0" collapsed="false">
      <c r="A30" s="9" t="s">
        <v>415</v>
      </c>
      <c r="B30" s="9" t="s">
        <v>139</v>
      </c>
      <c r="C30" s="9" t="s">
        <v>412</v>
      </c>
      <c r="D30" s="10" t="n">
        <v>6.98</v>
      </c>
      <c r="E30" s="9" t="s">
        <v>142</v>
      </c>
      <c r="F30" s="9" t="s">
        <v>361</v>
      </c>
      <c r="G30" s="10" t="n">
        <v>4.8</v>
      </c>
      <c r="H30" s="9" t="s">
        <v>40</v>
      </c>
      <c r="I30" s="9" t="s">
        <v>417</v>
      </c>
      <c r="J30" s="12" t="s">
        <v>363</v>
      </c>
    </row>
    <row r="31" customFormat="false" ht="15" hidden="false" customHeight="false" outlineLevel="0" collapsed="false">
      <c r="A31" s="9" t="s">
        <v>418</v>
      </c>
      <c r="B31" s="9" t="s">
        <v>419</v>
      </c>
      <c r="C31" s="9" t="s">
        <v>412</v>
      </c>
      <c r="D31" s="10" t="n">
        <v>6.5</v>
      </c>
      <c r="E31" s="9" t="s">
        <v>132</v>
      </c>
      <c r="F31" s="9" t="s">
        <v>369</v>
      </c>
      <c r="G31" s="10" t="n">
        <v>7.02</v>
      </c>
      <c r="H31" s="9" t="s">
        <v>36</v>
      </c>
      <c r="I31" s="9" t="s">
        <v>420</v>
      </c>
      <c r="J31" s="12" t="s">
        <v>363</v>
      </c>
    </row>
    <row r="32" customFormat="false" ht="15" hidden="false" customHeight="false" outlineLevel="0" collapsed="false">
      <c r="A32" s="9" t="s">
        <v>421</v>
      </c>
      <c r="B32" s="9" t="s">
        <v>422</v>
      </c>
      <c r="C32" s="9" t="s">
        <v>412</v>
      </c>
      <c r="D32" s="10" t="n">
        <v>8.9</v>
      </c>
      <c r="E32" s="9" t="s">
        <v>132</v>
      </c>
      <c r="F32" s="9" t="s">
        <v>361</v>
      </c>
      <c r="G32" s="10" t="n">
        <v>7.9</v>
      </c>
      <c r="H32" s="9" t="s">
        <v>36</v>
      </c>
      <c r="I32" s="9" t="s">
        <v>423</v>
      </c>
      <c r="J32" s="12" t="s">
        <v>363</v>
      </c>
    </row>
    <row r="33" customFormat="false" ht="15" hidden="false" customHeight="false" outlineLevel="0" collapsed="false">
      <c r="A33" s="9" t="s">
        <v>421</v>
      </c>
      <c r="B33" s="9" t="s">
        <v>422</v>
      </c>
      <c r="C33" s="9" t="s">
        <v>412</v>
      </c>
      <c r="D33" s="10" t="n">
        <v>8.9</v>
      </c>
      <c r="E33" s="9" t="s">
        <v>34</v>
      </c>
      <c r="F33" s="9" t="s">
        <v>369</v>
      </c>
      <c r="G33" s="10" t="n">
        <v>6.6</v>
      </c>
      <c r="H33" s="9" t="s">
        <v>36</v>
      </c>
      <c r="I33" s="9" t="s">
        <v>424</v>
      </c>
      <c r="J33" s="12" t="s">
        <v>363</v>
      </c>
    </row>
    <row r="34" customFormat="false" ht="15" hidden="false" customHeight="false" outlineLevel="0" collapsed="false">
      <c r="A34" s="9" t="s">
        <v>421</v>
      </c>
      <c r="B34" s="9" t="s">
        <v>422</v>
      </c>
      <c r="C34" s="9" t="s">
        <v>412</v>
      </c>
      <c r="D34" s="10" t="n">
        <v>8.9</v>
      </c>
      <c r="E34" s="9" t="s">
        <v>142</v>
      </c>
      <c r="F34" s="9" t="s">
        <v>369</v>
      </c>
      <c r="G34" s="10" t="n">
        <v>8.08</v>
      </c>
      <c r="H34" s="9" t="s">
        <v>40</v>
      </c>
      <c r="I34" s="9" t="s">
        <v>425</v>
      </c>
      <c r="J34" s="12" t="s">
        <v>363</v>
      </c>
    </row>
    <row r="35" customFormat="false" ht="15" hidden="false" customHeight="false" outlineLevel="0" collapsed="false">
      <c r="A35" s="9" t="s">
        <v>426</v>
      </c>
      <c r="B35" s="9" t="s">
        <v>427</v>
      </c>
      <c r="C35" s="9" t="s">
        <v>412</v>
      </c>
      <c r="D35" s="10" t="n">
        <v>13</v>
      </c>
      <c r="E35" s="9" t="s">
        <v>34</v>
      </c>
      <c r="F35" s="9" t="s">
        <v>361</v>
      </c>
      <c r="G35" s="10" t="n">
        <v>13</v>
      </c>
      <c r="H35" s="9" t="s">
        <v>36</v>
      </c>
      <c r="I35" s="9" t="s">
        <v>428</v>
      </c>
      <c r="J35" s="12" t="s">
        <v>363</v>
      </c>
    </row>
    <row r="36" customFormat="false" ht="15" hidden="false" customHeight="false" outlineLevel="0" collapsed="false">
      <c r="A36" s="9" t="s">
        <v>426</v>
      </c>
      <c r="B36" s="9" t="s">
        <v>427</v>
      </c>
      <c r="C36" s="9" t="s">
        <v>412</v>
      </c>
      <c r="D36" s="10" t="n">
        <v>13</v>
      </c>
      <c r="E36" s="9" t="s">
        <v>142</v>
      </c>
      <c r="F36" s="9" t="s">
        <v>361</v>
      </c>
      <c r="G36" s="10" t="n">
        <v>14.63</v>
      </c>
      <c r="H36" s="9" t="s">
        <v>40</v>
      </c>
      <c r="I36" s="9" t="s">
        <v>429</v>
      </c>
      <c r="J36" s="12" t="s">
        <v>363</v>
      </c>
    </row>
    <row r="37" customFormat="false" ht="15" hidden="false" customHeight="false" outlineLevel="0" collapsed="false">
      <c r="A37" s="9" t="s">
        <v>430</v>
      </c>
      <c r="B37" s="9" t="s">
        <v>431</v>
      </c>
      <c r="C37" s="9" t="s">
        <v>412</v>
      </c>
      <c r="D37" s="10" t="n">
        <v>16.99</v>
      </c>
      <c r="E37" s="9" t="s">
        <v>34</v>
      </c>
      <c r="F37" s="9" t="s">
        <v>361</v>
      </c>
      <c r="G37" s="10" t="n">
        <v>19.99</v>
      </c>
      <c r="H37" s="9" t="s">
        <v>36</v>
      </c>
      <c r="I37" s="9" t="s">
        <v>432</v>
      </c>
      <c r="J37" s="12" t="s">
        <v>363</v>
      </c>
    </row>
    <row r="38" customFormat="false" ht="15" hidden="false" customHeight="false" outlineLevel="0" collapsed="false">
      <c r="A38" s="9" t="s">
        <v>433</v>
      </c>
      <c r="B38" s="9" t="s">
        <v>434</v>
      </c>
      <c r="C38" s="9" t="s">
        <v>412</v>
      </c>
      <c r="D38" s="10" t="n">
        <v>11.9</v>
      </c>
      <c r="E38" s="9" t="s">
        <v>34</v>
      </c>
      <c r="F38" s="9" t="s">
        <v>361</v>
      </c>
      <c r="G38" s="10" t="n">
        <v>10.8</v>
      </c>
      <c r="H38" s="9" t="s">
        <v>36</v>
      </c>
      <c r="I38" s="9" t="s">
        <v>435</v>
      </c>
      <c r="J38" s="12" t="s">
        <v>363</v>
      </c>
    </row>
    <row r="39" customFormat="false" ht="15" hidden="false" customHeight="false" outlineLevel="0" collapsed="false">
      <c r="A39" s="9" t="s">
        <v>436</v>
      </c>
      <c r="B39" s="9" t="s">
        <v>437</v>
      </c>
      <c r="C39" s="9" t="s">
        <v>412</v>
      </c>
      <c r="D39" s="10" t="n">
        <v>3.79</v>
      </c>
      <c r="E39" s="9" t="s">
        <v>34</v>
      </c>
      <c r="F39" s="9" t="s">
        <v>361</v>
      </c>
      <c r="G39" s="10" t="n">
        <v>3.99</v>
      </c>
      <c r="H39" s="9" t="s">
        <v>36</v>
      </c>
      <c r="I39" s="9" t="s">
        <v>438</v>
      </c>
      <c r="J39" s="12" t="s">
        <v>363</v>
      </c>
    </row>
    <row r="40" customFormat="false" ht="15" hidden="false" customHeight="false" outlineLevel="0" collapsed="false">
      <c r="A40" s="9" t="s">
        <v>439</v>
      </c>
      <c r="B40" s="9" t="s">
        <v>440</v>
      </c>
      <c r="C40" s="9" t="s">
        <v>412</v>
      </c>
      <c r="D40" s="10" t="n">
        <v>9.95</v>
      </c>
      <c r="E40" s="9" t="s">
        <v>132</v>
      </c>
      <c r="F40" s="9" t="s">
        <v>369</v>
      </c>
      <c r="G40" s="10" t="n">
        <v>8.6</v>
      </c>
      <c r="H40" s="9" t="s">
        <v>36</v>
      </c>
      <c r="I40" s="9" t="s">
        <v>441</v>
      </c>
      <c r="J40" s="12" t="s">
        <v>363</v>
      </c>
    </row>
    <row r="41" customFormat="false" ht="15" hidden="false" customHeight="false" outlineLevel="0" collapsed="false">
      <c r="A41" s="9" t="s">
        <v>439</v>
      </c>
      <c r="B41" s="9" t="s">
        <v>440</v>
      </c>
      <c r="C41" s="9" t="s">
        <v>412</v>
      </c>
      <c r="D41" s="10" t="n">
        <v>9.95</v>
      </c>
      <c r="E41" s="9" t="s">
        <v>142</v>
      </c>
      <c r="F41" s="9" t="s">
        <v>369</v>
      </c>
      <c r="G41" s="10" t="n">
        <v>6.75</v>
      </c>
      <c r="H41" s="9" t="s">
        <v>36</v>
      </c>
      <c r="I41" s="9" t="s">
        <v>442</v>
      </c>
      <c r="J41" s="12" t="s">
        <v>363</v>
      </c>
    </row>
    <row r="42" customFormat="false" ht="15" hidden="false" customHeight="false" outlineLevel="0" collapsed="false">
      <c r="A42" s="9" t="s">
        <v>443</v>
      </c>
      <c r="B42" s="9" t="s">
        <v>444</v>
      </c>
      <c r="C42" s="9" t="s">
        <v>445</v>
      </c>
      <c r="D42" s="10" t="n">
        <v>24.5</v>
      </c>
      <c r="E42" s="9" t="s">
        <v>142</v>
      </c>
      <c r="F42" s="9" t="s">
        <v>369</v>
      </c>
      <c r="G42" s="10" t="n">
        <v>26.91</v>
      </c>
      <c r="H42" s="9" t="s">
        <v>36</v>
      </c>
      <c r="I42" s="9" t="s">
        <v>446</v>
      </c>
      <c r="J42" s="12" t="s">
        <v>363</v>
      </c>
    </row>
    <row r="43" customFormat="false" ht="15" hidden="false" customHeight="false" outlineLevel="0" collapsed="false">
      <c r="A43" s="9" t="s">
        <v>447</v>
      </c>
      <c r="B43" s="9" t="s">
        <v>448</v>
      </c>
      <c r="C43" s="9" t="s">
        <v>445</v>
      </c>
      <c r="D43" s="10" t="n">
        <v>55.9</v>
      </c>
      <c r="E43" s="9" t="s">
        <v>387</v>
      </c>
      <c r="F43" s="9" t="s">
        <v>361</v>
      </c>
      <c r="G43" s="10" t="n">
        <v>50</v>
      </c>
      <c r="H43" s="9" t="s">
        <v>36</v>
      </c>
      <c r="I43" s="9" t="s">
        <v>449</v>
      </c>
      <c r="J43" s="12" t="s">
        <v>363</v>
      </c>
    </row>
    <row r="44" customFormat="false" ht="15" hidden="false" customHeight="false" outlineLevel="0" collapsed="false">
      <c r="A44" s="9" t="s">
        <v>447</v>
      </c>
      <c r="B44" s="9" t="s">
        <v>448</v>
      </c>
      <c r="C44" s="9" t="s">
        <v>445</v>
      </c>
      <c r="D44" s="10" t="n">
        <v>55.9</v>
      </c>
      <c r="E44" s="9" t="s">
        <v>229</v>
      </c>
      <c r="F44" s="9" t="s">
        <v>369</v>
      </c>
      <c r="G44" s="10" t="n">
        <v>65.65</v>
      </c>
      <c r="H44" s="9" t="s">
        <v>364</v>
      </c>
      <c r="I44" s="9" t="s">
        <v>450</v>
      </c>
      <c r="J44" s="12" t="s">
        <v>363</v>
      </c>
    </row>
    <row r="45" customFormat="false" ht="15" hidden="false" customHeight="false" outlineLevel="0" collapsed="false">
      <c r="A45" s="9" t="s">
        <v>447</v>
      </c>
      <c r="B45" s="9" t="s">
        <v>448</v>
      </c>
      <c r="C45" s="9" t="s">
        <v>445</v>
      </c>
      <c r="D45" s="10" t="n">
        <v>55.9</v>
      </c>
      <c r="E45" s="9" t="s">
        <v>39</v>
      </c>
      <c r="F45" s="9" t="s">
        <v>369</v>
      </c>
      <c r="G45" s="10" t="n">
        <v>22.75</v>
      </c>
      <c r="H45" s="9" t="s">
        <v>36</v>
      </c>
      <c r="I45" s="9" t="s">
        <v>451</v>
      </c>
      <c r="J45" s="12" t="s">
        <v>363</v>
      </c>
    </row>
    <row r="46" customFormat="false" ht="15" hidden="false" customHeight="false" outlineLevel="0" collapsed="false">
      <c r="A46" s="9" t="s">
        <v>452</v>
      </c>
      <c r="B46" s="9" t="s">
        <v>453</v>
      </c>
      <c r="C46" s="9" t="s">
        <v>454</v>
      </c>
      <c r="D46" s="10" t="n">
        <v>4.95</v>
      </c>
      <c r="E46" s="9" t="s">
        <v>34</v>
      </c>
      <c r="F46" s="9" t="s">
        <v>361</v>
      </c>
      <c r="G46" s="10" t="n">
        <v>4.77</v>
      </c>
      <c r="H46" s="9" t="s">
        <v>40</v>
      </c>
      <c r="I46" s="9" t="s">
        <v>455</v>
      </c>
      <c r="J46" s="12" t="s">
        <v>363</v>
      </c>
    </row>
    <row r="47" customFormat="false" ht="15" hidden="false" customHeight="false" outlineLevel="0" collapsed="false">
      <c r="A47" s="9" t="s">
        <v>452</v>
      </c>
      <c r="B47" s="9" t="s">
        <v>453</v>
      </c>
      <c r="C47" s="9" t="s">
        <v>454</v>
      </c>
      <c r="D47" s="10" t="n">
        <v>4.95</v>
      </c>
      <c r="E47" s="9" t="s">
        <v>39</v>
      </c>
      <c r="F47" s="9" t="s">
        <v>369</v>
      </c>
      <c r="G47" s="10" t="n">
        <v>3.49</v>
      </c>
      <c r="H47" s="9" t="s">
        <v>40</v>
      </c>
      <c r="I47" s="9" t="s">
        <v>456</v>
      </c>
      <c r="J47" s="12" t="s">
        <v>363</v>
      </c>
    </row>
    <row r="48" customFormat="false" ht="15" hidden="false" customHeight="false" outlineLevel="0" collapsed="false">
      <c r="A48" s="9" t="s">
        <v>457</v>
      </c>
      <c r="B48" s="9" t="s">
        <v>458</v>
      </c>
      <c r="C48" s="9" t="s">
        <v>459</v>
      </c>
      <c r="D48" s="10" t="n">
        <v>15.5</v>
      </c>
      <c r="E48" s="9" t="s">
        <v>34</v>
      </c>
      <c r="F48" s="9" t="s">
        <v>369</v>
      </c>
      <c r="G48" s="10" t="n">
        <v>16.49</v>
      </c>
      <c r="H48" s="9" t="s">
        <v>36</v>
      </c>
      <c r="I48" s="9" t="s">
        <v>460</v>
      </c>
      <c r="J48" s="12" t="s">
        <v>363</v>
      </c>
    </row>
    <row r="49" customFormat="false" ht="15" hidden="false" customHeight="false" outlineLevel="0" collapsed="false">
      <c r="A49" s="9" t="s">
        <v>457</v>
      </c>
      <c r="B49" s="9" t="s">
        <v>458</v>
      </c>
      <c r="C49" s="9" t="s">
        <v>459</v>
      </c>
      <c r="D49" s="10" t="n">
        <v>15.5</v>
      </c>
      <c r="E49" s="9" t="s">
        <v>142</v>
      </c>
      <c r="F49" s="9" t="s">
        <v>369</v>
      </c>
      <c r="G49" s="10" t="n">
        <v>18.4</v>
      </c>
      <c r="H49" s="9" t="s">
        <v>40</v>
      </c>
      <c r="I49" s="9" t="s">
        <v>461</v>
      </c>
      <c r="J49" s="12" t="s">
        <v>363</v>
      </c>
    </row>
    <row r="50" customFormat="false" ht="15" hidden="false" customHeight="false" outlineLevel="0" collapsed="false">
      <c r="A50" s="9" t="s">
        <v>462</v>
      </c>
      <c r="B50" s="9" t="s">
        <v>463</v>
      </c>
      <c r="C50" s="9" t="s">
        <v>459</v>
      </c>
      <c r="D50" s="10" t="n">
        <v>94.9</v>
      </c>
      <c r="E50" s="9" t="s">
        <v>34</v>
      </c>
      <c r="F50" s="9" t="s">
        <v>361</v>
      </c>
      <c r="G50" s="10" t="n">
        <v>99</v>
      </c>
      <c r="H50" s="9" t="s">
        <v>36</v>
      </c>
      <c r="I50" s="9" t="s">
        <v>464</v>
      </c>
      <c r="J50" s="12" t="s">
        <v>363</v>
      </c>
    </row>
    <row r="51" customFormat="false" ht="15" hidden="false" customHeight="false" outlineLevel="0" collapsed="false">
      <c r="A51" s="9" t="s">
        <v>462</v>
      </c>
      <c r="B51" s="9" t="s">
        <v>463</v>
      </c>
      <c r="C51" s="9" t="s">
        <v>459</v>
      </c>
      <c r="D51" s="10" t="n">
        <v>94.9</v>
      </c>
      <c r="E51" s="9" t="s">
        <v>142</v>
      </c>
      <c r="F51" s="9" t="s">
        <v>361</v>
      </c>
      <c r="G51" s="10" t="n">
        <v>115.2</v>
      </c>
      <c r="H51" s="9" t="s">
        <v>40</v>
      </c>
      <c r="I51" s="9" t="s">
        <v>465</v>
      </c>
      <c r="J51" s="12" t="s">
        <v>363</v>
      </c>
    </row>
    <row r="53" customFormat="false" ht="15" hidden="false" customHeight="false" outlineLevel="0" collapsed="false">
      <c r="A53" s="6" t="s">
        <v>466</v>
      </c>
    </row>
  </sheetData>
  <autoFilter ref="A3:J51"/>
  <hyperlinks>
    <hyperlink ref="J4" r:id="rId1" display="apri"/>
    <hyperlink ref="J5" r:id="rId2" display="apri"/>
    <hyperlink ref="J6" r:id="rId3" display="apri"/>
    <hyperlink ref="J7" r:id="rId4" display="apri"/>
    <hyperlink ref="J8" r:id="rId5" display="apri"/>
    <hyperlink ref="J9" r:id="rId6" display="apri"/>
    <hyperlink ref="J10" r:id="rId7" display="apri"/>
    <hyperlink ref="J11" r:id="rId8" display="apri"/>
    <hyperlink ref="J12" r:id="rId9" display="apri"/>
    <hyperlink ref="J13" r:id="rId10" display="apri"/>
    <hyperlink ref="J14" r:id="rId11" display="apri"/>
    <hyperlink ref="J15" r:id="rId12" display="apri"/>
    <hyperlink ref="J16" r:id="rId13" display="apri"/>
    <hyperlink ref="J17" r:id="rId14" display="apri"/>
    <hyperlink ref="J18" r:id="rId15" display="apri"/>
    <hyperlink ref="J19" r:id="rId16" display="apri"/>
    <hyperlink ref="J20" r:id="rId17" display="apri"/>
    <hyperlink ref="J21" r:id="rId18" display="apri"/>
    <hyperlink ref="J22" r:id="rId19" display="apri"/>
    <hyperlink ref="J23" r:id="rId20" display="apri"/>
    <hyperlink ref="J24" r:id="rId21" display="apri"/>
    <hyperlink ref="J25" r:id="rId22" display="apri"/>
    <hyperlink ref="J26" r:id="rId23" display="apri"/>
    <hyperlink ref="J27" r:id="rId24" display="apri"/>
    <hyperlink ref="J28" r:id="rId25" display="apri"/>
    <hyperlink ref="J29" r:id="rId26" display="apri"/>
    <hyperlink ref="J30" r:id="rId27" display="apri"/>
    <hyperlink ref="J31" r:id="rId28" display="apri"/>
    <hyperlink ref="J32" r:id="rId29" display="apri"/>
    <hyperlink ref="J33" r:id="rId30" display="apri"/>
    <hyperlink ref="J34" r:id="rId31" display="apri"/>
    <hyperlink ref="J35" r:id="rId32" display="apri"/>
    <hyperlink ref="J36" r:id="rId33" display="apri"/>
    <hyperlink ref="J37" r:id="rId34" display="apri"/>
    <hyperlink ref="J38" r:id="rId35" display="apri"/>
    <hyperlink ref="J39" r:id="rId36" display="apri"/>
    <hyperlink ref="J40" r:id="rId37" display="apri"/>
    <hyperlink ref="J41" r:id="rId38" display="apri"/>
    <hyperlink ref="J42" r:id="rId39" display="apri"/>
    <hyperlink ref="J43" r:id="rId40" display="apri"/>
    <hyperlink ref="J44" r:id="rId41" display="apri"/>
    <hyperlink ref="J45" r:id="rId42" display="apri"/>
    <hyperlink ref="J46" r:id="rId43" display="apri"/>
    <hyperlink ref="J47" r:id="rId44" display="apri"/>
    <hyperlink ref="J48" r:id="rId45" display="apri"/>
    <hyperlink ref="J49" r:id="rId46" display="apri"/>
    <hyperlink ref="J50" r:id="rId47" display="apri"/>
    <hyperlink ref="J51" r:id="rId48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2026-08-05T20:44:11Z</dcterms:created>
  <dc:creator>openpyxl</dc:creator>
  <dc:description/>
  <dc:language>en-US</dc:language>
  <cp:lastModifiedBy/>
  <dcterms:modified xsi:type="dcterms:W3CDTF">2026-08-05T20:44:11Z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